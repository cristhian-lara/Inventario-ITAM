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cuments\Inventario-ITAM\"/>
    </mc:Choice>
  </mc:AlternateContent>
  <xr:revisionPtr revIDLastSave="0" documentId="13_ncr:1_{D9F67572-EB56-4FEB-8B28-6B5FC21B0F93}" xr6:coauthVersionLast="47" xr6:coauthVersionMax="47" xr10:uidLastSave="{00000000-0000-0000-0000-000000000000}"/>
  <bookViews>
    <workbookView xWindow="16371" yWindow="0" windowWidth="16629" windowHeight="17880" xr2:uid="{A5B401B7-6C7E-4FB0-BDEF-46F4B61E2C3F}"/>
  </bookViews>
  <sheets>
    <sheet name="IK - Datos Plantillas- Datos Bá" sheetId="1" r:id="rId1"/>
  </sheets>
  <externalReferences>
    <externalReference r:id="rId2"/>
  </externalReferences>
  <definedNames>
    <definedName name="_xlnm._FilterDatabase" localSheetId="0" hidden="1">'IK - Datos Plantillas- Datos Bá'!$A$1:$CR$161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37" i="1"/>
  <c r="I2" i="1"/>
  <c r="I68" i="1"/>
  <c r="I30" i="1"/>
  <c r="I21" i="1"/>
  <c r="I36" i="1"/>
  <c r="I52" i="1"/>
  <c r="I84" i="1"/>
  <c r="I69" i="1"/>
  <c r="I113" i="1"/>
  <c r="I28" i="1"/>
  <c r="I35" i="1"/>
  <c r="I114" i="1"/>
  <c r="I65" i="1"/>
  <c r="I86" i="1"/>
  <c r="I87" i="1"/>
  <c r="I88" i="1"/>
  <c r="I54" i="1"/>
  <c r="I27" i="1"/>
  <c r="I49" i="1"/>
  <c r="I56" i="1"/>
  <c r="I89" i="1"/>
  <c r="I90" i="1"/>
  <c r="I115" i="1"/>
  <c r="I116" i="1"/>
  <c r="I139" i="1"/>
  <c r="I70" i="1"/>
  <c r="I23" i="1"/>
  <c r="I91" i="1"/>
  <c r="I63" i="1"/>
  <c r="I26" i="1"/>
  <c r="I92" i="1"/>
  <c r="I50" i="1"/>
  <c r="I31" i="1"/>
  <c r="I117" i="1"/>
  <c r="I93" i="1"/>
  <c r="I24" i="1"/>
  <c r="I94" i="1"/>
  <c r="I118" i="1"/>
  <c r="I71" i="1"/>
  <c r="I46" i="1"/>
  <c r="I119" i="1"/>
  <c r="I120" i="1"/>
  <c r="I78" i="1"/>
  <c r="I20" i="1"/>
  <c r="I55" i="1"/>
  <c r="I95" i="1"/>
  <c r="I121" i="1"/>
  <c r="I33" i="1"/>
  <c r="I67" i="1"/>
  <c r="I111" i="1"/>
  <c r="I62" i="1"/>
  <c r="I96" i="1"/>
  <c r="I85" i="1"/>
  <c r="I25" i="1"/>
  <c r="I13" i="1"/>
  <c r="I8" i="1"/>
  <c r="I122" i="1"/>
  <c r="I9" i="1"/>
  <c r="I97" i="1"/>
  <c r="I108" i="1"/>
  <c r="I140" i="1"/>
  <c r="I141" i="1"/>
  <c r="I80" i="1"/>
  <c r="I123" i="1"/>
  <c r="I40" i="1"/>
  <c r="I142" i="1"/>
  <c r="I124" i="1"/>
  <c r="I22" i="1"/>
  <c r="I125" i="1"/>
  <c r="I83" i="1"/>
  <c r="I143" i="1"/>
  <c r="I72" i="1"/>
  <c r="I144" i="1"/>
  <c r="I53" i="1"/>
  <c r="I81" i="1"/>
  <c r="I126" i="1"/>
  <c r="I145" i="1"/>
  <c r="I64" i="1"/>
  <c r="I157" i="1"/>
  <c r="I154" i="1"/>
  <c r="I153" i="1"/>
  <c r="I17" i="1"/>
  <c r="I19" i="1"/>
  <c r="I43" i="1"/>
  <c r="I41" i="1"/>
  <c r="I44" i="1"/>
  <c r="I39" i="1"/>
  <c r="I38" i="1"/>
  <c r="I18" i="1"/>
  <c r="I152" i="1"/>
  <c r="I151" i="1"/>
  <c r="I150" i="1"/>
  <c r="I127" i="1"/>
  <c r="I45" i="1"/>
  <c r="I112" i="1"/>
  <c r="I128" i="1"/>
  <c r="I129" i="1"/>
  <c r="I82" i="1"/>
  <c r="I110" i="1"/>
  <c r="I130" i="1"/>
  <c r="I14" i="1"/>
  <c r="I73" i="1"/>
  <c r="I74" i="1"/>
  <c r="I146" i="1"/>
  <c r="I29" i="1"/>
  <c r="I131" i="1"/>
  <c r="I98" i="1"/>
  <c r="I15" i="1"/>
  <c r="I32" i="1"/>
  <c r="I5" i="1"/>
  <c r="I48" i="1"/>
  <c r="I132" i="1"/>
  <c r="I99" i="1"/>
  <c r="I7" i="1"/>
  <c r="I156" i="1"/>
  <c r="I100" i="1"/>
  <c r="I101" i="1"/>
  <c r="I102" i="1"/>
  <c r="I159" i="1"/>
  <c r="I147" i="1"/>
  <c r="I133" i="1"/>
  <c r="I34" i="1"/>
  <c r="I3" i="1"/>
  <c r="I57" i="1"/>
  <c r="I77" i="1"/>
  <c r="I79" i="1"/>
  <c r="I148" i="1"/>
  <c r="I4" i="1"/>
  <c r="I58" i="1"/>
  <c r="I103" i="1"/>
  <c r="I134" i="1"/>
  <c r="I66" i="1"/>
  <c r="I51" i="1"/>
  <c r="I59" i="1"/>
  <c r="I61" i="1"/>
  <c r="I155" i="1"/>
  <c r="I135" i="1"/>
  <c r="I60" i="1"/>
  <c r="I10" i="1"/>
  <c r="I136" i="1"/>
  <c r="I47" i="1"/>
  <c r="I109" i="1"/>
  <c r="I6" i="1"/>
  <c r="I158" i="1"/>
  <c r="I104" i="1"/>
  <c r="I75" i="1"/>
  <c r="I105" i="1"/>
  <c r="I106" i="1"/>
  <c r="I137" i="1"/>
  <c r="I42" i="1"/>
  <c r="I107" i="1"/>
  <c r="I138" i="1"/>
  <c r="I149" i="1"/>
  <c r="I76" i="1"/>
  <c r="I16" i="1"/>
  <c r="I11" i="1"/>
</calcChain>
</file>

<file path=xl/sharedStrings.xml><?xml version="1.0" encoding="utf-8"?>
<sst xmlns="http://schemas.openxmlformats.org/spreadsheetml/2006/main" count="1450" uniqueCount="573">
  <si>
    <t>Nombre de empresa</t>
  </si>
  <si>
    <t>ID Persona</t>
  </si>
  <si>
    <t>Nombre completo</t>
  </si>
  <si>
    <t>País</t>
  </si>
  <si>
    <t>Responsable Directo</t>
  </si>
  <si>
    <t>CURP</t>
  </si>
  <si>
    <t>Fecha de contratación</t>
  </si>
  <si>
    <t>Centro de costos</t>
  </si>
  <si>
    <t>Ubicación</t>
  </si>
  <si>
    <t>Ikusi Redes Colombia</t>
  </si>
  <si>
    <t>WD000823</t>
  </si>
  <si>
    <t>LUIS FERNANDO BUITRAGO GUARIN</t>
  </si>
  <si>
    <t>Colombia</t>
  </si>
  <si>
    <t>CESAR AUGUSTO VILLAMIL GORDILLO</t>
  </si>
  <si>
    <t>79056605 (COL-CC)</t>
  </si>
  <si>
    <t>Account Manager (CO)</t>
  </si>
  <si>
    <t>CO10102120-(IRC)-Comercial Enterprise</t>
  </si>
  <si>
    <t>Raul Zambrano Zambrano Monroy</t>
  </si>
  <si>
    <t>COL - Bogota</t>
  </si>
  <si>
    <t>WD000824</t>
  </si>
  <si>
    <t>RENE ALEJANDRO RABE NIETO</t>
  </si>
  <si>
    <t>HAROL CUELLAR TOVAR</t>
  </si>
  <si>
    <t>79624147 (COL-CC)</t>
  </si>
  <si>
    <t>WD000825</t>
  </si>
  <si>
    <t>UBER ANTONIO GAMBA MENJURA</t>
  </si>
  <si>
    <t>MIGUEL ANGEL GUEVARA HERNANDEZ</t>
  </si>
  <si>
    <t>1018416819 (COL-CC)</t>
  </si>
  <si>
    <t>Preventa Servicios</t>
  </si>
  <si>
    <t>CO10103160-(IRC)-Nuevos Servicios</t>
  </si>
  <si>
    <t>WD000827</t>
  </si>
  <si>
    <t>IÑAKI MAIZ ELIZARAN</t>
  </si>
  <si>
    <t>80224181 (COL-CC)</t>
  </si>
  <si>
    <t>CO10101000-(IRC)-Dirección General Redes</t>
  </si>
  <si>
    <t>WD000828</t>
  </si>
  <si>
    <t>JUAN CARLOS PEREZ NIETO</t>
  </si>
  <si>
    <t>JESUS EDUARDO BARRIOS CONTRERAS</t>
  </si>
  <si>
    <t>79818196 (COL-CC)</t>
  </si>
  <si>
    <t>Especialista Delivery</t>
  </si>
  <si>
    <t>CO10104340-(IRC)-Oper. Enterprise y SP/NOC</t>
  </si>
  <si>
    <t>OSCAR JULIAN GOMEZ MORA</t>
  </si>
  <si>
    <t>WD000831</t>
  </si>
  <si>
    <t>CAMILO ANDRES AYALA DELGADO</t>
  </si>
  <si>
    <t>MAURICIO MARTINEZ MORENO</t>
  </si>
  <si>
    <t>1016101438 (COL-CC)</t>
  </si>
  <si>
    <t>Preventa Senior</t>
  </si>
  <si>
    <t>CO10103130-(IRC)-Ingenieria y preventa</t>
  </si>
  <si>
    <t>WD000832</t>
  </si>
  <si>
    <t>98672404 (COL-CC)</t>
  </si>
  <si>
    <t>Director Preventa (CO)</t>
  </si>
  <si>
    <t>CO10103100-(IRC)-D.Preventa</t>
  </si>
  <si>
    <t>COL - Medellin</t>
  </si>
  <si>
    <t>WD000833</t>
  </si>
  <si>
    <t>EDWIN ALEXIS DIAZ ROMERO</t>
  </si>
  <si>
    <t>1007429007 (COL-CC)</t>
  </si>
  <si>
    <t>Preventa Junior</t>
  </si>
  <si>
    <t>WD000835</t>
  </si>
  <si>
    <t>80212119 (COL-CC)</t>
  </si>
  <si>
    <t>Director Operaciones (CO)</t>
  </si>
  <si>
    <t>CO10104300-(IRC)-Director Operaciones</t>
  </si>
  <si>
    <t>WD000836</t>
  </si>
  <si>
    <t>AURA MILAGROS RAMIREZ VELA</t>
  </si>
  <si>
    <t>CHRISTIAN JULIAN VALENCIA CARMONA</t>
  </si>
  <si>
    <t>1192762264 (COL-CC)</t>
  </si>
  <si>
    <t>Coordinador SDM (CO)</t>
  </si>
  <si>
    <t>WD000838</t>
  </si>
  <si>
    <t>FABIAN TORO RODRIGUEZ</t>
  </si>
  <si>
    <t>1030650663 (COL-CC)</t>
  </si>
  <si>
    <t>WD000839</t>
  </si>
  <si>
    <t>LUIS CARLOS REYES PARRA</t>
  </si>
  <si>
    <t>IVAN DARIO GONZALEZ GONZALEZ</t>
  </si>
  <si>
    <t>1049611748 (COL-CC)</t>
  </si>
  <si>
    <t>Soporte Senior</t>
  </si>
  <si>
    <t>WD000840</t>
  </si>
  <si>
    <t>GUSTAVO ADOLFO BONILLA CORTES</t>
  </si>
  <si>
    <t>80100374 (COL-CC)</t>
  </si>
  <si>
    <t>Arquitecto Preventa</t>
  </si>
  <si>
    <t>WD000843</t>
  </si>
  <si>
    <t>80864279 (COL-CC)</t>
  </si>
  <si>
    <t>Arquitecto Servicios</t>
  </si>
  <si>
    <t>WD000846</t>
  </si>
  <si>
    <t>WILMAR YEZID LOZANO CASTAÑEDA</t>
  </si>
  <si>
    <t>DAGO ARMANDO LEON BARAHONA</t>
  </si>
  <si>
    <t>80777284 (COL-CC)</t>
  </si>
  <si>
    <t>WD000847</t>
  </si>
  <si>
    <t>MARYLUZ RUSSI ALFONSO</t>
  </si>
  <si>
    <t>52761480 (COL-CC)</t>
  </si>
  <si>
    <t>Coordinador NOC SOC (CO)</t>
  </si>
  <si>
    <t>WD000848</t>
  </si>
  <si>
    <t>YENIFER VALENTINA BARRETO GUEVARA</t>
  </si>
  <si>
    <t>1000695270 (COL-CC)</t>
  </si>
  <si>
    <t>Soporte Junior</t>
  </si>
  <si>
    <t>WD000849</t>
  </si>
  <si>
    <t>JUAN CAMILO SERNA PISSO</t>
  </si>
  <si>
    <t>1033805078 (COL-CC)</t>
  </si>
  <si>
    <t>WD000850</t>
  </si>
  <si>
    <t>ALVARO STEVEN CARREÑO NASAYO</t>
  </si>
  <si>
    <t>1014262487 (COL-CC)</t>
  </si>
  <si>
    <t>WD000851</t>
  </si>
  <si>
    <t>KAREN YOLANY VARGAS CASTELLANOS</t>
  </si>
  <si>
    <t>1019016802 (COL-CC)</t>
  </si>
  <si>
    <t>Red CO - Responsable Practica CX</t>
  </si>
  <si>
    <t>CO10104320-(IRC)-Oper. Práctica CX</t>
  </si>
  <si>
    <t>WD000852</t>
  </si>
  <si>
    <t>ANA MILENA SANCHEZ VILLAMIL</t>
  </si>
  <si>
    <t>52523793 (COL-CC)</t>
  </si>
  <si>
    <t>Líder Desarrollo de Software (CO)</t>
  </si>
  <si>
    <t>CO10103112-(IRC)-Programabilidad</t>
  </si>
  <si>
    <t>WD000853</t>
  </si>
  <si>
    <t>SANDRA LILIANA SANCHEZ CASTAÑEDA</t>
  </si>
  <si>
    <t>1049623795 (COL-CC)</t>
  </si>
  <si>
    <t>PM Senior</t>
  </si>
  <si>
    <t>CO10104220-(IRC)-PMO</t>
  </si>
  <si>
    <t>WD000854</t>
  </si>
  <si>
    <t>PABLO ARMANDO CASTELLANOS ALFONSO</t>
  </si>
  <si>
    <t>1032359679 (COL-CC)</t>
  </si>
  <si>
    <t>Arquitecto Delivery</t>
  </si>
  <si>
    <t>WD000855</t>
  </si>
  <si>
    <t>MARIO ALEJANDRO GUZMAN GIRALDO</t>
  </si>
  <si>
    <t>1013629933 (COL-CC)</t>
  </si>
  <si>
    <t>WD000856</t>
  </si>
  <si>
    <t>VANESSA MORALES RIOS</t>
  </si>
  <si>
    <t>1000383632 (COL-CC)</t>
  </si>
  <si>
    <t>WD000857</t>
  </si>
  <si>
    <t>ANDRES FELIPE RODRIGUEZ MARTINEZ</t>
  </si>
  <si>
    <t>1030619020 (COL-CC)</t>
  </si>
  <si>
    <t>WD000860</t>
  </si>
  <si>
    <t>JEFFER JESID BOHORQUEZ MACIAS</t>
  </si>
  <si>
    <t>1052358064 (COL-CC)</t>
  </si>
  <si>
    <t>WD000861</t>
  </si>
  <si>
    <t>SERGIO ANDRES VARGAS CELIS</t>
  </si>
  <si>
    <t>TANIA ESMERALDA ORTEGA TORRES</t>
  </si>
  <si>
    <t>1090399170 (COL-CC)</t>
  </si>
  <si>
    <t>WD000862</t>
  </si>
  <si>
    <t>CAMILO ANDRES SILVA RUGE</t>
  </si>
  <si>
    <t>1019060906 (COL-CC)</t>
  </si>
  <si>
    <t>WD000863</t>
  </si>
  <si>
    <t>ANDRES FELIPE DIAZ MEDINA</t>
  </si>
  <si>
    <t>1023018009 (COL-CC)</t>
  </si>
  <si>
    <t>Ingeniero Desarrollo Software</t>
  </si>
  <si>
    <t>WD000864</t>
  </si>
  <si>
    <t>ALESSANDRA GARZON LEMUS</t>
  </si>
  <si>
    <t>1127959421 (COL-CC)</t>
  </si>
  <si>
    <t>WD000865</t>
  </si>
  <si>
    <t>80051645 (COL-CC)</t>
  </si>
  <si>
    <t>WD000868</t>
  </si>
  <si>
    <t>NASSER ABRAHAM ABUCHAIBE GONZALEZ</t>
  </si>
  <si>
    <t>1126238925 (COL-CC)</t>
  </si>
  <si>
    <t>COL - Sincelejo</t>
  </si>
  <si>
    <t>WD000870</t>
  </si>
  <si>
    <t>JOHNNY FERNANDO MARTINEZ HERRERA</t>
  </si>
  <si>
    <t>79763163 (COL-CC)</t>
  </si>
  <si>
    <t>WD000871</t>
  </si>
  <si>
    <t>OSCAR FERNANDO DIAZ QUINTERO</t>
  </si>
  <si>
    <t>79222681 (COL-CC)</t>
  </si>
  <si>
    <t>WD000872</t>
  </si>
  <si>
    <t>RISHI OSPINA HERNANDEZ</t>
  </si>
  <si>
    <t>79796991 (COL-CC)</t>
  </si>
  <si>
    <t>WD000873</t>
  </si>
  <si>
    <t>JAIRO HUMBERTO MORENO SUAREZ</t>
  </si>
  <si>
    <t>1033689693 (COL-CC)</t>
  </si>
  <si>
    <t>WD000874</t>
  </si>
  <si>
    <t>DAVID WBEIMAR ROJAS GUERRERO</t>
  </si>
  <si>
    <t>80191374 (COL-CC)</t>
  </si>
  <si>
    <t>WD000875</t>
  </si>
  <si>
    <t>ANGIE DANIELA RODRIGUEZ VANEGAS</t>
  </si>
  <si>
    <t>1010014438 (COL-CC)</t>
  </si>
  <si>
    <t>WD000876</t>
  </si>
  <si>
    <t>SEBASTIAN MAURICIO RODRIGUEZ RODRIGUEZ</t>
  </si>
  <si>
    <t>1000020176 (COL-CC)</t>
  </si>
  <si>
    <t>WD000877</t>
  </si>
  <si>
    <t>CARLOS ANDRES ORTIZ CASALLAS (de ausencia)</t>
  </si>
  <si>
    <t>80109780 (COL-CC)</t>
  </si>
  <si>
    <t>WD000882</t>
  </si>
  <si>
    <t>MICHAEL ALFONSO RICO MORALES</t>
  </si>
  <si>
    <t>11227503 (COL-CC)</t>
  </si>
  <si>
    <t>WD000883</t>
  </si>
  <si>
    <t>MARY STEFHANY SOTO LUQUE</t>
  </si>
  <si>
    <t>1024518776 (COL-CC)</t>
  </si>
  <si>
    <t>PM Junior</t>
  </si>
  <si>
    <t>WD000884</t>
  </si>
  <si>
    <t>STIVEL ANDRES GOMEZ PUENTES</t>
  </si>
  <si>
    <t>PAOLA MILENA ORTIZ RICO</t>
  </si>
  <si>
    <t>1032409273 (COL-CC)</t>
  </si>
  <si>
    <t>WD000885</t>
  </si>
  <si>
    <t>CARLOS GUILLERMO RODRIGUEZ AGUDELO</t>
  </si>
  <si>
    <t>81741445 (COL-CC)</t>
  </si>
  <si>
    <t>WD000886</t>
  </si>
  <si>
    <t>OSCAR DAVID ANGULO ZARAZA</t>
  </si>
  <si>
    <t>1098625151 (COL-CC)</t>
  </si>
  <si>
    <t>Especialista Soporte (CO)</t>
  </si>
  <si>
    <t>WD000887</t>
  </si>
  <si>
    <t>ERICA MARCELA TRIVIÑO VASQUEZ</t>
  </si>
  <si>
    <t>43262407 (COL-CC)</t>
  </si>
  <si>
    <t>CO10102140-(IRC)-Com.Serv. Prov. Medellin</t>
  </si>
  <si>
    <t>WD000891</t>
  </si>
  <si>
    <t>VALERIA RODRIGUEZ GOMEZ</t>
  </si>
  <si>
    <t>1017203086 (COL-CC)</t>
  </si>
  <si>
    <t>WD000893</t>
  </si>
  <si>
    <t>CARLOS NAVARRO AYOLA</t>
  </si>
  <si>
    <t>1102871364 (COL-CC)</t>
  </si>
  <si>
    <t>WD000895</t>
  </si>
  <si>
    <t>ANDRES FELIPE SALAZAR LLANOS</t>
  </si>
  <si>
    <t>1024577887 (COL-CC)</t>
  </si>
  <si>
    <t>WD000897</t>
  </si>
  <si>
    <t>EDISSON DARIO GAVIRIA HINCAPIE</t>
  </si>
  <si>
    <t>71334837 (COL-CC)</t>
  </si>
  <si>
    <t>WD000898</t>
  </si>
  <si>
    <t>53064187 (COL-CC)</t>
  </si>
  <si>
    <t>WD000901</t>
  </si>
  <si>
    <t>WILDER ANDRES QUINTO TORRES</t>
  </si>
  <si>
    <t>1129044953 (COL-CC)</t>
  </si>
  <si>
    <t>WD000902</t>
  </si>
  <si>
    <t>SAMIRNA ESPERANZA BELTRAN SALAZAR</t>
  </si>
  <si>
    <t>1136880946 (COL-CC)</t>
  </si>
  <si>
    <t>Coordinador Operativo (CO)</t>
  </si>
  <si>
    <t>WD000904</t>
  </si>
  <si>
    <t>BRYAN STEBAN SISA</t>
  </si>
  <si>
    <t>1015447842 (COL-CC)</t>
  </si>
  <si>
    <t>WD000905</t>
  </si>
  <si>
    <t>1022385119 (COL-CC)</t>
  </si>
  <si>
    <t>WD000906</t>
  </si>
  <si>
    <t>CESAR ESTEBAN DIAZ MEDINA</t>
  </si>
  <si>
    <t>1000334965 (COL-CC)</t>
  </si>
  <si>
    <t>WD000909</t>
  </si>
  <si>
    <t>JUAN SEBASTIAN SUAREZ SANDOVAL</t>
  </si>
  <si>
    <t>1136886807 (COL-CC)</t>
  </si>
  <si>
    <t>WD000910</t>
  </si>
  <si>
    <t>MARIA JIMENA SALAS URBANO</t>
  </si>
  <si>
    <t>ANGELA PAOLA ALVAREZ CRISTANCHO</t>
  </si>
  <si>
    <t>1010221021 (COL-CC)</t>
  </si>
  <si>
    <t>Profesional HSEQ (CO)</t>
  </si>
  <si>
    <t>CO10101020-(IRC)-Procesos y Calidad</t>
  </si>
  <si>
    <t>WD000911</t>
  </si>
  <si>
    <t>JAVIER ORLANDO MOYA RUIZ</t>
  </si>
  <si>
    <t>1032408025 (COL-CC)</t>
  </si>
  <si>
    <t>WD000912</t>
  </si>
  <si>
    <t>JENNIFER TATIANA RAMIREZ GALVIS</t>
  </si>
  <si>
    <t>1010241353 (COL-CC)</t>
  </si>
  <si>
    <t>Analista Administrativo (CO)</t>
  </si>
  <si>
    <t>CO10102100-(IRC)-Comercial General</t>
  </si>
  <si>
    <t>WD000914</t>
  </si>
  <si>
    <t>JHONATAN ALEJANDRO VALERO PULIDO</t>
  </si>
  <si>
    <t>1069282246 (COL-CC)</t>
  </si>
  <si>
    <t>WD000918</t>
  </si>
  <si>
    <t>JHON JAIRO SANDOVAL CIFUENTES</t>
  </si>
  <si>
    <t>1113532319 (COL-CC)</t>
  </si>
  <si>
    <t>COL - Cali</t>
  </si>
  <si>
    <t>WD000921</t>
  </si>
  <si>
    <t>EDUARD GIOVANNY RINCON MURILLO</t>
  </si>
  <si>
    <t>1024557604 (COL-CC)</t>
  </si>
  <si>
    <t>WD000922</t>
  </si>
  <si>
    <t>ALEJANDRO POSADA SANCHEZ</t>
  </si>
  <si>
    <t>1027886191 (COL-CC)</t>
  </si>
  <si>
    <t>WD000923</t>
  </si>
  <si>
    <t>CESAR ARLEY RAIGOZA LOAIZA</t>
  </si>
  <si>
    <t>71378190 (COL-CC)</t>
  </si>
  <si>
    <t>WD000924</t>
  </si>
  <si>
    <t>LUIS CARLOS VARGAS HUERTAS</t>
  </si>
  <si>
    <t>1015437822 (COL-CC)</t>
  </si>
  <si>
    <t>WD000925</t>
  </si>
  <si>
    <t>MARYI KATALINA RODRIGUEZ MONTAÑO</t>
  </si>
  <si>
    <t>JUAN CAMILO RODRIGUEZ MORALES</t>
  </si>
  <si>
    <t>1076240794 (COL-CC)</t>
  </si>
  <si>
    <t>CO10104010-(IRC)-Controlling</t>
  </si>
  <si>
    <t>WD000928</t>
  </si>
  <si>
    <t>DAVID FELIPE OSORIO LUNA</t>
  </si>
  <si>
    <t>1030671389 (COL-CC)</t>
  </si>
  <si>
    <t>WD000929</t>
  </si>
  <si>
    <t>JOHN ALEXANDER OLMOS</t>
  </si>
  <si>
    <t>80257257 (COL-CC)</t>
  </si>
  <si>
    <t>WD000931</t>
  </si>
  <si>
    <t>JULIA ANDREA PINEDA ACERO</t>
  </si>
  <si>
    <t>52710273 (COL-CC)</t>
  </si>
  <si>
    <t>Devops Manager</t>
  </si>
  <si>
    <t>WD000934</t>
  </si>
  <si>
    <t>CARLOS ALBERTO ANGEL TOCARRUNCHO</t>
  </si>
  <si>
    <t>80471465 (COL-CC)</t>
  </si>
  <si>
    <t>WD000920</t>
  </si>
  <si>
    <t>HECTOR DARIO SALAZAR HINCAPIE</t>
  </si>
  <si>
    <t>10286783 (COL-CC)</t>
  </si>
  <si>
    <t>WD000971</t>
  </si>
  <si>
    <t>RUBEN DARIO RIOS BUSTAMANTE</t>
  </si>
  <si>
    <t>98716194 (COL-CC)</t>
  </si>
  <si>
    <t>WD000972</t>
  </si>
  <si>
    <t>EDWIN CIFUENTES CAMACHO</t>
  </si>
  <si>
    <t>1026265848 (COL-CC)</t>
  </si>
  <si>
    <t>WD000974</t>
  </si>
  <si>
    <t>RAUL ROBERTO CAMACHO REBOLLEDO</t>
  </si>
  <si>
    <t>5680165 (COL-CC)</t>
  </si>
  <si>
    <t>WD000975</t>
  </si>
  <si>
    <t>467746 (COL-CC)</t>
  </si>
  <si>
    <t>Gerente de Ingeniería (CO)</t>
  </si>
  <si>
    <t>WD000976</t>
  </si>
  <si>
    <t>FABIAN VELASQUEZ BOTERO</t>
  </si>
  <si>
    <t>1039458895 (COL-CC)</t>
  </si>
  <si>
    <t>WD000978</t>
  </si>
  <si>
    <t>ANDRES EDUARDO SERRANO FAJARDO</t>
  </si>
  <si>
    <t>1018416347 (COL-CC)</t>
  </si>
  <si>
    <t>WD001010</t>
  </si>
  <si>
    <t>GUILLERMO MELCHOR YARANGA JORGE</t>
  </si>
  <si>
    <t>6970794 (COL-CC)</t>
  </si>
  <si>
    <t>Perú</t>
  </si>
  <si>
    <t>WD001011</t>
  </si>
  <si>
    <t>60447758 (COL-CC)</t>
  </si>
  <si>
    <t>WD000936</t>
  </si>
  <si>
    <t>ANDREA MILENA SUAREZ HERNANDEZ</t>
  </si>
  <si>
    <t>1030567547 (COL-CC)</t>
  </si>
  <si>
    <t>Coordinadora Capital Humano (CO)</t>
  </si>
  <si>
    <t>CO10900620-(IRC)-CH</t>
  </si>
  <si>
    <t>WD000938</t>
  </si>
  <si>
    <t>ELVA LETICIA AVENDAÑO DAZA</t>
  </si>
  <si>
    <t>23561347 (COL-CC)</t>
  </si>
  <si>
    <t>CO10900500-(IRC)-Servicios generales</t>
  </si>
  <si>
    <t>WD000939</t>
  </si>
  <si>
    <t>NATALIA ANDREA LOSADA PEÑA</t>
  </si>
  <si>
    <t>ZURIÑE BIDAURRETA MIGUEL</t>
  </si>
  <si>
    <t>1010194149 (COL-CC)</t>
  </si>
  <si>
    <t>Abogada (CO)</t>
  </si>
  <si>
    <t>CO10900350-(IRC)-Legal</t>
  </si>
  <si>
    <t>WD000941</t>
  </si>
  <si>
    <t>MAIKEN ALEXANDRO SAAVEDRA ARIAS</t>
  </si>
  <si>
    <t>79952720 (COL-CC)</t>
  </si>
  <si>
    <t>CO10102125-(IRC)-Comercial Gobierno</t>
  </si>
  <si>
    <t>WD000942</t>
  </si>
  <si>
    <t>80011377 (COL-CC)</t>
  </si>
  <si>
    <t>Director Comercial (CO)</t>
  </si>
  <si>
    <t>WD000943</t>
  </si>
  <si>
    <t>MIGUEL ANGEL ROJAS LEON</t>
  </si>
  <si>
    <t>1033799541 (COL-CC)</t>
  </si>
  <si>
    <t>CO10104020-(IRC)-Compras y Logistica</t>
  </si>
  <si>
    <t>WD000944</t>
  </si>
  <si>
    <t>IVAN STIVEN BONILLA RAMIREZ</t>
  </si>
  <si>
    <t>1015426357 (COL-CC)</t>
  </si>
  <si>
    <t>Controller  (CO - Financiera)</t>
  </si>
  <si>
    <t>WD000945</t>
  </si>
  <si>
    <t>JULIAN ANDRES QUINTERO QUINTERO</t>
  </si>
  <si>
    <t>1088246639 (COL-CC)</t>
  </si>
  <si>
    <t>Líder Cadena de Suministro</t>
  </si>
  <si>
    <t>WD000946</t>
  </si>
  <si>
    <t>JENNIFER VALENCIA CASTAÑO</t>
  </si>
  <si>
    <t>53131934 (COL-CC)</t>
  </si>
  <si>
    <t>WD000948</t>
  </si>
  <si>
    <t>1032385633 (COL-CC)</t>
  </si>
  <si>
    <t>Director Financiero (CO)</t>
  </si>
  <si>
    <t>CO10104000-(IRC)-DIRECCION FINANCIERA</t>
  </si>
  <si>
    <t>WD000950</t>
  </si>
  <si>
    <t>BERNARDO CHARA PARRA</t>
  </si>
  <si>
    <t>80233887 (COL-CC)</t>
  </si>
  <si>
    <t>WD001015</t>
  </si>
  <si>
    <t>CRISTHIAN CAMILO LARA LONDOÑO</t>
  </si>
  <si>
    <t>Pdte (COL-CC)</t>
  </si>
  <si>
    <t>Administrador Infraestructuras y Sistemas</t>
  </si>
  <si>
    <t>CO10900321-(IRC)-IT</t>
  </si>
  <si>
    <t>WD000952</t>
  </si>
  <si>
    <t>MAYHCOL GUILLERMO TORRES LOZANO</t>
  </si>
  <si>
    <t>OSCAR OSORIO CHAVEZ</t>
  </si>
  <si>
    <t>1019064193 (COL-CC)</t>
  </si>
  <si>
    <t>Especialista Contabilidad</t>
  </si>
  <si>
    <t>CO10900210-(IRC)-GOSA</t>
  </si>
  <si>
    <t>WD001019</t>
  </si>
  <si>
    <t>DIANA CAROLINA FORERO CARRERO</t>
  </si>
  <si>
    <t>MARTHA ALEJANDRA MOLINET CAMPERO</t>
  </si>
  <si>
    <t>52991329 (COL-CC)</t>
  </si>
  <si>
    <t>WD001050</t>
  </si>
  <si>
    <t>BRALLAN DAVID VASQUEZ GARCIA</t>
  </si>
  <si>
    <t>LINA ESPERANZA LOZANO DEVIA</t>
  </si>
  <si>
    <t>1073714962 (COL-CC)</t>
  </si>
  <si>
    <t>WD001051</t>
  </si>
  <si>
    <t>1128267710 (COL-CC)</t>
  </si>
  <si>
    <t>WD001048</t>
  </si>
  <si>
    <t>JESUS ALBERTO PACHECO ROJAS</t>
  </si>
  <si>
    <t>1007052754 (COL-CC)</t>
  </si>
  <si>
    <t>COL - Santa Marta</t>
  </si>
  <si>
    <t>WD001055</t>
  </si>
  <si>
    <t>EDISSON HERNANDO SERRANO MENESES</t>
  </si>
  <si>
    <t>80005318 (COL-CC)</t>
  </si>
  <si>
    <t>WD001067</t>
  </si>
  <si>
    <t>GINNET PAOLA LEMUS GARCIA</t>
  </si>
  <si>
    <t>1010174813 (COL-CC)</t>
  </si>
  <si>
    <t>WD001086</t>
  </si>
  <si>
    <t>JAIR MANUEL ROSAS CASTAÑEDA</t>
  </si>
  <si>
    <t>8069278 (COL-CC)</t>
  </si>
  <si>
    <t>WD001088</t>
  </si>
  <si>
    <t>JOSE SIMON ORTEGA ARAUJO</t>
  </si>
  <si>
    <t>1064981373 (COL-CC)</t>
  </si>
  <si>
    <t>COL - Cereté</t>
  </si>
  <si>
    <t>WD001092</t>
  </si>
  <si>
    <t>EDUARD MAURICIO POVEDA GONZALEZ</t>
  </si>
  <si>
    <t>1020827325 (COL-CC)</t>
  </si>
  <si>
    <t>WD001146</t>
  </si>
  <si>
    <t>NESTOR GABRIEL ENRIQUE SEGURA TOCORA</t>
  </si>
  <si>
    <t>80097347 (COL-CC)</t>
  </si>
  <si>
    <t>WD001182</t>
  </si>
  <si>
    <t>ANDREY SEBASTIAN RINCON PENAGOS</t>
  </si>
  <si>
    <t>1019082286 (COL-CC)</t>
  </si>
  <si>
    <t>WD001193</t>
  </si>
  <si>
    <t>GUSTAVO CASTRO FONSECA</t>
  </si>
  <si>
    <t>1019043496 (COL-CC)</t>
  </si>
  <si>
    <t>WD001195</t>
  </si>
  <si>
    <t>RAYNER VEGA ESCOBAR</t>
  </si>
  <si>
    <t>1079177609 (COL-CC)</t>
  </si>
  <si>
    <t>WD001205</t>
  </si>
  <si>
    <t>JOSE LUIS SANCHEZ ZAMUDIO</t>
  </si>
  <si>
    <t>80176885 (COL-CC)</t>
  </si>
  <si>
    <t>WD001213</t>
  </si>
  <si>
    <t>SERGIO ANDRES AGUIRRE ESCORCIA</t>
  </si>
  <si>
    <t>1095820416 (COL-CC)</t>
  </si>
  <si>
    <t>WD001214</t>
  </si>
  <si>
    <t>BRAYAN STEVEN MENDIVELSO GARCIA</t>
  </si>
  <si>
    <t>1023945420 (COL-CC)</t>
  </si>
  <si>
    <t>WD001225</t>
  </si>
  <si>
    <t>YURI FERNANDA CARDONA HERNÁNDEZ</t>
  </si>
  <si>
    <t>1144056628 (COL-CC)</t>
  </si>
  <si>
    <t>WD001231</t>
  </si>
  <si>
    <t>CARLOS GERMAN TRUJILLO ROJAS</t>
  </si>
  <si>
    <t>1075262214 (COL-CC)</t>
  </si>
  <si>
    <t>WD001236</t>
  </si>
  <si>
    <t>RODOLFO MANUEL DUARTE SABOGAL</t>
  </si>
  <si>
    <t>79996557 (COL-CC)</t>
  </si>
  <si>
    <t>CO10101010-(IRC)-Innovación y Desarrollo (I+D)</t>
  </si>
  <si>
    <t>WD001247</t>
  </si>
  <si>
    <t>JENNYFER ANDREA SALAS PABON</t>
  </si>
  <si>
    <t>1036617780 (COL-CC)</t>
  </si>
  <si>
    <t>WD001246</t>
  </si>
  <si>
    <t>ALEJANDRO MAURICIO SÁNCHEZ IBAÑEZ</t>
  </si>
  <si>
    <t>1075266961 (COL-CC)</t>
  </si>
  <si>
    <t>WD001250</t>
  </si>
  <si>
    <t>DAYANNA MICHEL CASTRO RAMOS</t>
  </si>
  <si>
    <t>1051655163 (COL-CC)</t>
  </si>
  <si>
    <t>WD001262</t>
  </si>
  <si>
    <t>ANDREA MARCELA GONZALEZ VARGAS (de ausencia)</t>
  </si>
  <si>
    <t>1024493048 (COL-CC)</t>
  </si>
  <si>
    <t>Oficial de Cumplimiento SGSI - SGCN (CO)</t>
  </si>
  <si>
    <t>WD001261</t>
  </si>
  <si>
    <t>ANDREA PAOLA MORALES BARRIOS</t>
  </si>
  <si>
    <t>1046272650 (COL-CC)</t>
  </si>
  <si>
    <t>VEL - Becario/A</t>
  </si>
  <si>
    <t>COL - Repelón</t>
  </si>
  <si>
    <t>WD001264</t>
  </si>
  <si>
    <t>SARA ESTEPHANY POVEDA SALINAS</t>
  </si>
  <si>
    <t>1018484046 (COL-CC)</t>
  </si>
  <si>
    <t>WD001280</t>
  </si>
  <si>
    <t>JOSE DANIEL MARRIAGA PATIÑO</t>
  </si>
  <si>
    <t>1030572363 (COL-CC)</t>
  </si>
  <si>
    <t>WD001281</t>
  </si>
  <si>
    <t>JUAN JOSÉ CONTRERAS MOJICA</t>
  </si>
  <si>
    <t>1000592530 (COL-CC)</t>
  </si>
  <si>
    <t>WD001300</t>
  </si>
  <si>
    <t>MARÍA ALEJANDRA PASCAGASA ARIAS</t>
  </si>
  <si>
    <t>1023946481 (COL-CC)</t>
  </si>
  <si>
    <t>Marketing</t>
  </si>
  <si>
    <t>CO10900650-(IRC)-Marketing</t>
  </si>
  <si>
    <t>WD001307</t>
  </si>
  <si>
    <t>ANDRES RAMIRO OSORIO CANTOR</t>
  </si>
  <si>
    <t>1012404791 (COL-CC)</t>
  </si>
  <si>
    <t>WD001315</t>
  </si>
  <si>
    <t>ANA MARIA ALVAREZ CUBILLOS</t>
  </si>
  <si>
    <t>1018429116 (COL-CC)</t>
  </si>
  <si>
    <t>WD001317</t>
  </si>
  <si>
    <t>JUAN ZAPATA PINILLA</t>
  </si>
  <si>
    <t>3556755 (COL-CC)</t>
  </si>
  <si>
    <t>WD001329</t>
  </si>
  <si>
    <t>KEVIN ANDRES ARDILA SANABRIA (de ausencia)</t>
  </si>
  <si>
    <t>1000686147 (COL-CC)</t>
  </si>
  <si>
    <t>WD001332</t>
  </si>
  <si>
    <t>HEILERD ENRIQUE BERNAL MORENO</t>
  </si>
  <si>
    <t>1026288025 (COL-CC)</t>
  </si>
  <si>
    <t>WD001333</t>
  </si>
  <si>
    <t>JUAN RICARDO ACEVEDO HINCAPIE</t>
  </si>
  <si>
    <t>1128440390 (COL-CC)</t>
  </si>
  <si>
    <t>WD001342</t>
  </si>
  <si>
    <t>ANDRES FELIPE INFANTE BECERRA</t>
  </si>
  <si>
    <t>1020798456 (COL-CC)</t>
  </si>
  <si>
    <t>WD001351</t>
  </si>
  <si>
    <t>EDUAR ALEXIS TUMAY BOHORQUEZ</t>
  </si>
  <si>
    <t>1118558280 (COL-CC)</t>
  </si>
  <si>
    <t>WD001353</t>
  </si>
  <si>
    <t>SOFIA MATEUS BENAVIDES</t>
  </si>
  <si>
    <t>1001091760 (COL-CC)</t>
  </si>
  <si>
    <t>WD001368</t>
  </si>
  <si>
    <t>JAIME ANDRES QUIROGA TORRES</t>
  </si>
  <si>
    <t>80237299 (COL-CC)</t>
  </si>
  <si>
    <t>WD001365</t>
  </si>
  <si>
    <t>Carlos Julián Ruge Leal</t>
  </si>
  <si>
    <t>1000502237 (COL-CC)</t>
  </si>
  <si>
    <t>WD001371</t>
  </si>
  <si>
    <t>Duvan Felipe Piñeros Chacon</t>
  </si>
  <si>
    <t>1018495959 (COL-CC)</t>
  </si>
  <si>
    <t>WD001373</t>
  </si>
  <si>
    <t>53121571 (COL-CC)</t>
  </si>
  <si>
    <t>COL - Barranquilla</t>
  </si>
  <si>
    <t>WD001374</t>
  </si>
  <si>
    <t>EDGAR EDUARDO DOZA PIÑA</t>
  </si>
  <si>
    <t>80546424 (COL-CC)</t>
  </si>
  <si>
    <t>Consultor Especializado de Servicios</t>
  </si>
  <si>
    <t>WD001382</t>
  </si>
  <si>
    <t>WILLIAM CACERES JAIMES</t>
  </si>
  <si>
    <t>486423 (COL-CC)</t>
  </si>
  <si>
    <t>WD001384</t>
  </si>
  <si>
    <t>Alberto Luis Rojano Peña</t>
  </si>
  <si>
    <t>1192787604 (COL-CC)</t>
  </si>
  <si>
    <t>COL - Cartagena</t>
  </si>
  <si>
    <t>WD001392</t>
  </si>
  <si>
    <t>52699478 (COL-CC)</t>
  </si>
  <si>
    <t>Directora Capital Humano (CH CO)</t>
  </si>
  <si>
    <t>CO10900600-(IRC)-Dir. Capital Humano</t>
  </si>
  <si>
    <t>WD001394</t>
  </si>
  <si>
    <t>DUBERNEY MENDEZ VARGAS</t>
  </si>
  <si>
    <t>1023012410 (COL-CC)</t>
  </si>
  <si>
    <t>WD001400</t>
  </si>
  <si>
    <t>Brayan Jose Polo Sierra</t>
  </si>
  <si>
    <t>1129509933 (COL-CC)</t>
  </si>
  <si>
    <t>WD001402</t>
  </si>
  <si>
    <t>Mariaini salcedo Rodríguez</t>
  </si>
  <si>
    <t>1065660988 (COL-CC)</t>
  </si>
  <si>
    <t>COL - Curumani</t>
  </si>
  <si>
    <t>WD001404</t>
  </si>
  <si>
    <t>Cristian Camilo Suárez Suárez</t>
  </si>
  <si>
    <t>80852828 (COL-CC)</t>
  </si>
  <si>
    <t>WD001397</t>
  </si>
  <si>
    <t>DIANA KATHERINE CASTAÑO CUEVAS</t>
  </si>
  <si>
    <t>1026258803 (COL-CC)</t>
  </si>
  <si>
    <t>WD001406</t>
  </si>
  <si>
    <t>Pablo Andrés Sánchez Rodríguez</t>
  </si>
  <si>
    <t>94061968 (COL-CC)</t>
  </si>
  <si>
    <t>WD001409</t>
  </si>
  <si>
    <t>Cristin Alejandra Silva Ramírez</t>
  </si>
  <si>
    <t>1106776980 (COL-CC)</t>
  </si>
  <si>
    <t>WD001416</t>
  </si>
  <si>
    <t>LEIDY KATERINE MENJURA VILLAMIL</t>
  </si>
  <si>
    <t>1020732571 (COL-CC)</t>
  </si>
  <si>
    <t>Profesional Capital Humano</t>
  </si>
  <si>
    <t>WD001417</t>
  </si>
  <si>
    <t>Jainer Luis Castro Ramos</t>
  </si>
  <si>
    <t>1004361930 (COL-CC)</t>
  </si>
  <si>
    <t>WD001421</t>
  </si>
  <si>
    <t>Juan David Barbery Concha</t>
  </si>
  <si>
    <t>1017217543 (COL-CC)</t>
  </si>
  <si>
    <t>WD001428</t>
  </si>
  <si>
    <t>Gerhart Joan Castillo Cortes</t>
  </si>
  <si>
    <t>1014224584 (COL-CC)</t>
  </si>
  <si>
    <t>WD001427</t>
  </si>
  <si>
    <t>79721912 (COL-CC)</t>
  </si>
  <si>
    <t>WD001429</t>
  </si>
  <si>
    <t>JUAN SEBASTIAN BORDA FUENTES</t>
  </si>
  <si>
    <t>1113668083 (COL-CC)</t>
  </si>
  <si>
    <t>WD001431</t>
  </si>
  <si>
    <t>GINNA MARCELA MOGOLLON PULIDO</t>
  </si>
  <si>
    <t>1024517440 (COL-CC)</t>
  </si>
  <si>
    <t>WD001436</t>
  </si>
  <si>
    <t>Johan Sebastian Villalobos Pelaez</t>
  </si>
  <si>
    <t>1000835034 (COL-CC)</t>
  </si>
  <si>
    <t>WD001437</t>
  </si>
  <si>
    <t>CARLOS ALFONSO PRADO JIMENEZ</t>
  </si>
  <si>
    <t>Lima</t>
  </si>
  <si>
    <t>WD001438</t>
  </si>
  <si>
    <t>LEIDY YINETH DIAZ SALDAÑA</t>
  </si>
  <si>
    <t>53140415 (COL-CC)</t>
  </si>
  <si>
    <t>WD001442</t>
  </si>
  <si>
    <t>EDWIN DE JESUS MONTIEL MORENO</t>
  </si>
  <si>
    <t>1104431426 (COL-CC)</t>
  </si>
  <si>
    <t>WD001443</t>
  </si>
  <si>
    <t>RICARDO ALFONSO LOAIZA ROA</t>
  </si>
  <si>
    <t>1070781815 (COL-CC)</t>
  </si>
  <si>
    <t>WD001446</t>
  </si>
  <si>
    <t>JAIME GRISALES MARIN</t>
  </si>
  <si>
    <t>98551769 (COL-CC)</t>
  </si>
  <si>
    <t>WD001447</t>
  </si>
  <si>
    <t>DUFSTIN GREGORY LLONTOP ARAMBULO</t>
  </si>
  <si>
    <t>Perfil de puesto Velatia</t>
  </si>
  <si>
    <t>Cargo</t>
  </si>
  <si>
    <t>PREVENTA</t>
  </si>
  <si>
    <t>MANAGER SENIOR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</si>
</sst>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horizontal="right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ndrea.suarez\AppData\Local\Microsoft\Olk\Attachments\ooa-71b92c97-78a1-484f-a430-95820d39125a\89d48bc78f8ad6a38258f1df2b29fa31c8969368b0aff107d4c918b7314bb4b7\1.%20Nomina%20Ikusi%20Redes%20Mayo%202026%20-%20E.xlsx" TargetMode="External"/><Relationship Id="rId2" Type="http://schemas.microsoft.com/office/2019/04/relationships/externalLinkLongPath" Target="https://velatia-my.sharepoint.com/Users/andrea.suarez/AppData/Local/Microsoft/Olk/Attachments/ooa-71b92c97-78a1-484f-a430-95820d39125a/89d48bc78f8ad6a38258f1df2b29fa31c8969368b0aff107d4c918b7314bb4b7/1.%20Nomina%20Ikusi%20Redes%20Mayo%202026%20-%20E.xlsx?AEFB5A59" TargetMode="External"/><Relationship Id="rId1" Type="http://schemas.openxmlformats.org/officeDocument/2006/relationships/externalLinkPath" Target="file:///\\AEFB5A59\1.%20Nomina%20Ikusi%20Redes%20Mayo%202026%20-%20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AYO"/>
    </sheetNames>
    <sheetDataSet>
      <sheetData sheetId="0">
        <row r="9">
          <cell r="B9" t="str">
            <v>WD000876</v>
          </cell>
          <cell r="C9" t="str">
            <v>RODRIGUEZ RODRIGUEZ SEBASTIAN MAURICIO</v>
          </cell>
          <cell r="D9" t="str">
            <v>SOPORTE JUNIOR</v>
          </cell>
        </row>
        <row r="10">
          <cell r="B10" t="str">
            <v>WD000906</v>
          </cell>
          <cell r="C10" t="str">
            <v>DIAZ MEDINA CESAR ESTEBAN</v>
          </cell>
          <cell r="D10" t="str">
            <v>INGENIERO DESARROLLO SOFTWARE</v>
          </cell>
        </row>
        <row r="11">
          <cell r="B11" t="str">
            <v>WD000856</v>
          </cell>
          <cell r="C11" t="str">
            <v>MORALES RIOS VANESSA</v>
          </cell>
          <cell r="D11" t="str">
            <v>SOPORTE JUNIOR</v>
          </cell>
        </row>
        <row r="12">
          <cell r="B12" t="str">
            <v>WD001365</v>
          </cell>
          <cell r="C12" t="str">
            <v>RUGE LEAL CARLOS JULIAN</v>
          </cell>
          <cell r="D12" t="str">
            <v>SOPORTE JUNIOR</v>
          </cell>
        </row>
        <row r="13">
          <cell r="B13" t="str">
            <v>WD001281</v>
          </cell>
          <cell r="C13" t="str">
            <v>CONTRERAS MOJICA JUAN JOSE</v>
          </cell>
          <cell r="D13" t="str">
            <v>SOPORTE JUNIOR</v>
          </cell>
        </row>
        <row r="14">
          <cell r="B14" t="str">
            <v>WD001329</v>
          </cell>
          <cell r="C14" t="str">
            <v>ARDILA SANABRIA KEVIN ANDRES</v>
          </cell>
          <cell r="D14" t="str">
            <v>INGENIERO DESARROLLO SOFTWARE</v>
          </cell>
        </row>
        <row r="15">
          <cell r="B15" t="str">
            <v>WD000848</v>
          </cell>
          <cell r="C15" t="str">
            <v>BARRETO GUEVARA YENIFER VALENTINA</v>
          </cell>
          <cell r="D15" t="str">
            <v>SOPORTE JUNIOR</v>
          </cell>
        </row>
        <row r="16">
          <cell r="B16" t="str">
            <v>WD001436</v>
          </cell>
          <cell r="C16" t="str">
            <v>VILLALOBOS PELAEZ JOHAN SEBASTIAN</v>
          </cell>
          <cell r="D16" t="str">
            <v>SOPORTE JUNIOR</v>
          </cell>
        </row>
        <row r="17">
          <cell r="B17" t="str">
            <v>WD001353</v>
          </cell>
          <cell r="C17" t="str">
            <v>MATEUS BENAVIDES SOFIA</v>
          </cell>
          <cell r="D17" t="str">
            <v>INGENIERO DESARROLLO SOFTWARE</v>
          </cell>
        </row>
        <row r="18">
          <cell r="B18" t="str">
            <v>WD001417</v>
          </cell>
          <cell r="C18" t="str">
            <v>CASTRO RAMOS JAINER LUIS</v>
          </cell>
          <cell r="D18" t="str">
            <v>SOPORTE JUNIOR</v>
          </cell>
        </row>
        <row r="19">
          <cell r="B19" t="str">
            <v>WD001048</v>
          </cell>
          <cell r="C19" t="str">
            <v>PACHECO ROJAS JESUS ALBERTO</v>
          </cell>
          <cell r="D19" t="str">
            <v>SOPORTE JUNIOR</v>
          </cell>
        </row>
        <row r="20">
          <cell r="B20" t="str">
            <v>WD000833</v>
          </cell>
          <cell r="C20" t="str">
            <v>DIAZ ROMERO EDWIN ALEXIS</v>
          </cell>
          <cell r="D20" t="str">
            <v>PREVENTA JUNIOR</v>
          </cell>
        </row>
        <row r="21">
          <cell r="B21" t="str">
            <v>WD000875</v>
          </cell>
          <cell r="C21" t="str">
            <v>RODRIGUEZ VANEGAS ANGIE DANIELA</v>
          </cell>
          <cell r="D21" t="str">
            <v>INGENIERO DESARROLLO SOFTWARE</v>
          </cell>
        </row>
        <row r="22">
          <cell r="B22" t="str">
            <v>WD001067</v>
          </cell>
          <cell r="C22" t="str">
            <v>LEMUS GARCIA GINNET PAOLA</v>
          </cell>
          <cell r="D22" t="str">
            <v>SOPORTE SENIOR</v>
          </cell>
        </row>
        <row r="23">
          <cell r="B23" t="str">
            <v>WD000939</v>
          </cell>
          <cell r="C23" t="str">
            <v>LOSADA PEÑA NATALIA ANDREA</v>
          </cell>
          <cell r="D23" t="str">
            <v>ABOGADA JUNIOR</v>
          </cell>
        </row>
        <row r="24">
          <cell r="B24" t="str">
            <v>WD000910</v>
          </cell>
          <cell r="C24" t="str">
            <v>SALAS URBANO MARIA JIMENA</v>
          </cell>
          <cell r="D24" t="str">
            <v>PROFESIONAL HSEQ</v>
          </cell>
        </row>
        <row r="25">
          <cell r="B25" t="str">
            <v>WD000912</v>
          </cell>
          <cell r="C25" t="str">
            <v>RAMIREZ GALVIS JENNIFER TATIANA</v>
          </cell>
          <cell r="D25" t="str">
            <v>ANALISTA COMERCIAL</v>
          </cell>
        </row>
        <row r="26">
          <cell r="B26" t="str">
            <v>WD001307</v>
          </cell>
          <cell r="C26" t="str">
            <v>OSORIO CANTOR ANDRES RAMIRO</v>
          </cell>
          <cell r="D26" t="str">
            <v>SOPORTE SENIOR</v>
          </cell>
        </row>
        <row r="27">
          <cell r="B27" t="str">
            <v>WD000855</v>
          </cell>
          <cell r="C27" t="str">
            <v>GUZMAN GIRALDO MARIO ALEJANDRO</v>
          </cell>
          <cell r="D27" t="str">
            <v>SOPORTE JUNIOR</v>
          </cell>
        </row>
        <row r="28">
          <cell r="B28" t="str">
            <v>WD001428</v>
          </cell>
          <cell r="C28" t="str">
            <v>CASTILLO CORTES GERHART JOAN</v>
          </cell>
          <cell r="D28" t="str">
            <v>SOPORTE JUNIOR</v>
          </cell>
        </row>
        <row r="29">
          <cell r="B29" t="str">
            <v>WD000850</v>
          </cell>
          <cell r="C29" t="str">
            <v>CARREÑO NASAYO ALVARO STEVEN</v>
          </cell>
          <cell r="D29" t="str">
            <v>SOPORTE JUNIOR</v>
          </cell>
        </row>
        <row r="30">
          <cell r="B30" t="str">
            <v>WD000944</v>
          </cell>
          <cell r="C30" t="str">
            <v>BONILLA RAMIREZ IVAN STIVEN</v>
          </cell>
          <cell r="D30" t="str">
            <v>CONTROLLER</v>
          </cell>
        </row>
        <row r="31">
          <cell r="B31" t="str">
            <v>WD000924</v>
          </cell>
          <cell r="C31" t="str">
            <v>VARGAS HUERTAS LUIS CARLOS</v>
          </cell>
          <cell r="D31" t="str">
            <v>SOPORTE SENIOR</v>
          </cell>
        </row>
        <row r="32">
          <cell r="B32" t="str">
            <v>WD000904</v>
          </cell>
          <cell r="C32" t="str">
            <v>SISA  BRYAN STEBAN</v>
          </cell>
          <cell r="D32" t="str">
            <v>SOPORTE JUNIOR</v>
          </cell>
        </row>
        <row r="33">
          <cell r="B33" t="str">
            <v>WD000831</v>
          </cell>
          <cell r="C33" t="str">
            <v>AYALA DELGADO CAMILO ANDRES</v>
          </cell>
          <cell r="D33" t="str">
            <v>PREVENTA</v>
          </cell>
        </row>
        <row r="34">
          <cell r="B34" t="str">
            <v>WD000891</v>
          </cell>
          <cell r="C34" t="str">
            <v>RODRIGUEZ GOMEZ VALERIA</v>
          </cell>
          <cell r="D34" t="str">
            <v>ARQUITECTO DE PREVENTA</v>
          </cell>
        </row>
        <row r="35">
          <cell r="B35" t="str">
            <v>WD001421</v>
          </cell>
          <cell r="C35" t="str">
            <v>BARBERY CONCHA JUAN DAVID</v>
          </cell>
          <cell r="D35" t="str">
            <v>ESPECIALISTA DELIVERY</v>
          </cell>
        </row>
        <row r="36">
          <cell r="B36" t="str">
            <v>WD000978</v>
          </cell>
          <cell r="C36" t="str">
            <v>SERRANO FAJARDO ANDRES EDUARDO</v>
          </cell>
          <cell r="D36" t="str">
            <v>SOPORTE SENIOR</v>
          </cell>
        </row>
        <row r="37">
          <cell r="B37" t="str">
            <v>WD000825</v>
          </cell>
          <cell r="C37" t="str">
            <v>GAMBA MENJURA UBER ANTONIO</v>
          </cell>
          <cell r="D37" t="str">
            <v>PREVENTA SERVICIOS</v>
          </cell>
        </row>
        <row r="38">
          <cell r="B38" t="str">
            <v>WD001315</v>
          </cell>
          <cell r="C38" t="str">
            <v>ALVAREZ CUBILLOS ANA MARÍA</v>
          </cell>
          <cell r="D38" t="str">
            <v>SOPORTE SENIOR</v>
          </cell>
        </row>
        <row r="39">
          <cell r="B39" t="str">
            <v>WD001264</v>
          </cell>
          <cell r="C39" t="str">
            <v>POVEDA SALINAS SARA ESTEPHANY</v>
          </cell>
          <cell r="D39" t="str">
            <v>SOPORTE JUNIOR</v>
          </cell>
        </row>
        <row r="40">
          <cell r="B40" t="str">
            <v>WD001371</v>
          </cell>
          <cell r="C40" t="str">
            <v>PIÑEROS CHACON DUVAN FELIPE</v>
          </cell>
          <cell r="D40" t="str">
            <v>SOPORTE SENIOR</v>
          </cell>
        </row>
        <row r="41">
          <cell r="B41" t="str">
            <v>WD000851</v>
          </cell>
          <cell r="C41" t="str">
            <v>VARGAS CASTELLANOS KAREN YOLANY</v>
          </cell>
          <cell r="D41" t="str">
            <v>RESPONSABLE DE PRACTICA CX</v>
          </cell>
        </row>
        <row r="42">
          <cell r="B42" t="str">
            <v>WD001193</v>
          </cell>
          <cell r="C42" t="str">
            <v>CASTRO FONSECA GUSTAVO ALONSO</v>
          </cell>
          <cell r="D42" t="str">
            <v>ESPECIALISTA DELIVERY</v>
          </cell>
        </row>
        <row r="43">
          <cell r="B43" t="str">
            <v>WD000862</v>
          </cell>
          <cell r="C43" t="str">
            <v>SILVA RUGE CAMILO ANDRES</v>
          </cell>
          <cell r="D43" t="str">
            <v>ESPECIALISTA DELIVERY</v>
          </cell>
        </row>
        <row r="44">
          <cell r="B44" t="str">
            <v>WD000952</v>
          </cell>
          <cell r="C44" t="str">
            <v>TORRES LOZANO MAYHCOL GUILLERMO</v>
          </cell>
          <cell r="D44" t="str">
            <v>CONTADOR SENIOR</v>
          </cell>
        </row>
        <row r="45">
          <cell r="B45" t="str">
            <v>WD001182</v>
          </cell>
          <cell r="C45" t="str">
            <v>RINCON PENAGOS ANDREY SEBASTIAN</v>
          </cell>
          <cell r="D45" t="str">
            <v>ESPECIALISTA DELIVERY</v>
          </cell>
        </row>
        <row r="46">
          <cell r="B46" t="str">
            <v>WD001416</v>
          </cell>
          <cell r="C46" t="str">
            <v>MENJURA VILLAMIL LEIDY KATERINE</v>
          </cell>
          <cell r="D46" t="str">
            <v>PROFESIONAL DE CAPITAL HUMANO</v>
          </cell>
        </row>
        <row r="47">
          <cell r="B47" t="str">
            <v>WD001342</v>
          </cell>
          <cell r="C47" t="str">
            <v>INFANTE BECERRA ANDRES FELIPE</v>
          </cell>
          <cell r="D47" t="str">
            <v>ESPECIALISTA SOPORTE</v>
          </cell>
        </row>
        <row r="48">
          <cell r="B48" t="str">
            <v>WD001092</v>
          </cell>
          <cell r="C48" t="str">
            <v>POVEDA GONZALEZ EDUARD MAURICIO</v>
          </cell>
          <cell r="D48" t="str">
            <v>SOPORTE SENIOR</v>
          </cell>
        </row>
        <row r="49">
          <cell r="B49" t="str">
            <v>WD000905</v>
          </cell>
          <cell r="C49" t="str">
            <v>GONZALEZ GONZALEZ IVAN DARIO</v>
          </cell>
          <cell r="D49" t="str">
            <v>SERVICE DELIVERY MANAGER</v>
          </cell>
        </row>
        <row r="50">
          <cell r="B50" t="str">
            <v>ORMAZABAL</v>
          </cell>
          <cell r="C50" t="str">
            <v>SUSA HERNANDEZ HAMES SEBASTIAN</v>
          </cell>
          <cell r="D50" t="str">
            <v>PREVENTA JUNIOR</v>
          </cell>
        </row>
        <row r="51">
          <cell r="B51" t="str">
            <v>WD001394</v>
          </cell>
          <cell r="C51" t="str">
            <v>MENDEZ VARGAS DUBERNEY</v>
          </cell>
          <cell r="D51" t="str">
            <v>SOPORTE SENIOR</v>
          </cell>
        </row>
        <row r="52">
          <cell r="B52" t="str">
            <v>WD000863</v>
          </cell>
          <cell r="C52" t="str">
            <v>DIAZ MEDINA ANDRES FELIPE</v>
          </cell>
          <cell r="D52" t="str">
            <v>INGENIERO DESARROLLO SOFTWARE</v>
          </cell>
        </row>
        <row r="53">
          <cell r="B53" t="str">
            <v>WD001214</v>
          </cell>
          <cell r="C53" t="str">
            <v>MENDIVELSO GARCIA BRAYAN STEVEN</v>
          </cell>
          <cell r="D53" t="str">
            <v>SOPORTE JUNIOR</v>
          </cell>
        </row>
        <row r="54">
          <cell r="B54" t="str">
            <v>WD001300</v>
          </cell>
          <cell r="C54" t="str">
            <v>PASCAGASA ARIAS MARÍA ALEJANDRA</v>
          </cell>
          <cell r="D54" t="str">
            <v>MARKETING</v>
          </cell>
        </row>
        <row r="55">
          <cell r="B55" t="str">
            <v>WD001262</v>
          </cell>
          <cell r="C55" t="str">
            <v>GONZALEZ VARGAS ANDREA MARCELA</v>
          </cell>
          <cell r="D55" t="str">
            <v>OFICIAL DE CUMPLIMIENTO</v>
          </cell>
        </row>
        <row r="56">
          <cell r="B56" t="str">
            <v>WD001431</v>
          </cell>
          <cell r="C56" t="str">
            <v>MOGOLLON PULIDO GINNA MARCELA</v>
          </cell>
          <cell r="D56" t="str">
            <v>ANALISTA DE RECAUDO</v>
          </cell>
        </row>
        <row r="57">
          <cell r="B57" t="str">
            <v>WD000883</v>
          </cell>
          <cell r="C57" t="str">
            <v>SOTO LUQUE MARY STEFHANY</v>
          </cell>
          <cell r="D57" t="str">
            <v>PM JUNIOR</v>
          </cell>
        </row>
        <row r="58">
          <cell r="B58" t="str">
            <v>WD000921</v>
          </cell>
          <cell r="C58" t="str">
            <v>RINCON MURILLO EDUARD GIOVANNY</v>
          </cell>
          <cell r="D58" t="str">
            <v>SOPORTE SENIOR</v>
          </cell>
        </row>
        <row r="59">
          <cell r="B59" t="str">
            <v>WD000895</v>
          </cell>
          <cell r="C59" t="str">
            <v>SALAZAR LLANOS ANDRES FELIPE</v>
          </cell>
          <cell r="D59" t="str">
            <v>SOPORTE SENIOR</v>
          </cell>
        </row>
        <row r="60">
          <cell r="B60" t="str">
            <v>WD001397</v>
          </cell>
          <cell r="C60" t="str">
            <v>CASTAÑO CUEVAS DIANA KATHERINE</v>
          </cell>
          <cell r="D60" t="str">
            <v>PM JUNIOR</v>
          </cell>
        </row>
        <row r="61">
          <cell r="B61" t="str">
            <v>WD000972</v>
          </cell>
          <cell r="C61" t="str">
            <v>CIFUENTES CAMACHO EDWIN</v>
          </cell>
          <cell r="D61" t="str">
            <v>ESPECIALISTA DELIVERY</v>
          </cell>
        </row>
        <row r="62">
          <cell r="B62" t="str">
            <v>WD001332</v>
          </cell>
          <cell r="C62" t="str">
            <v>BERNAL  MORENO HEIRLED ENRIQUE</v>
          </cell>
          <cell r="D62" t="str">
            <v>ARQUITECTO DELIVERY</v>
          </cell>
        </row>
        <row r="63">
          <cell r="B63" t="str">
            <v>WD001015</v>
          </cell>
          <cell r="C63" t="str">
            <v>LARA LONDOÑO CRISTHIAN CAMILO</v>
          </cell>
          <cell r="D63" t="str">
            <v>SOPORTE TI</v>
          </cell>
        </row>
        <row r="64">
          <cell r="B64" t="str">
            <v>WD000922</v>
          </cell>
          <cell r="C64" t="str">
            <v>POSADA SANCHEZ ALEJANDRO</v>
          </cell>
          <cell r="D64" t="str">
            <v>SOPORTE SENIOR</v>
          </cell>
        </row>
        <row r="65">
          <cell r="B65" t="str">
            <v>WD000920</v>
          </cell>
          <cell r="C65" t="str">
            <v>SALAZAR HINCAPIE HECTOR DARIO</v>
          </cell>
          <cell r="D65" t="str">
            <v>PM SENIOR</v>
          </cell>
        </row>
        <row r="66">
          <cell r="B66" t="str">
            <v>WD000936</v>
          </cell>
          <cell r="C66" t="str">
            <v>SUAREZ HERNANDEZ ANDREA MILENA</v>
          </cell>
          <cell r="D66" t="str">
            <v>COORDINADORA DE CAPITAL HUMANO</v>
          </cell>
        </row>
        <row r="67">
          <cell r="B67" t="str">
            <v>WD001280</v>
          </cell>
          <cell r="C67" t="str">
            <v>MARRIAGA PATIÑO JOSE DANIEL</v>
          </cell>
          <cell r="D67" t="str">
            <v>SOPORTE JUNIOR</v>
          </cell>
        </row>
        <row r="68">
          <cell r="B68" t="str">
            <v>WD000857</v>
          </cell>
          <cell r="C68" t="str">
            <v>RODRIGUEZ MARTINEZ ANDRES FELIPE</v>
          </cell>
          <cell r="D68" t="str">
            <v>SOPORTE SENIOR</v>
          </cell>
        </row>
        <row r="69">
          <cell r="B69" t="str">
            <v>WD000838</v>
          </cell>
          <cell r="C69" t="str">
            <v>TORO RODRIGUEZ FABIAN</v>
          </cell>
          <cell r="D69" t="str">
            <v>ESPECIALISTA DELIVERY</v>
          </cell>
        </row>
        <row r="70">
          <cell r="B70" t="str">
            <v>WD000928</v>
          </cell>
          <cell r="C70" t="str">
            <v>OSORIO LUNA DAVID FELIPE</v>
          </cell>
          <cell r="D70" t="str">
            <v>SOPORTE SENIOR</v>
          </cell>
        </row>
        <row r="71">
          <cell r="B71" t="str">
            <v>WD000854</v>
          </cell>
          <cell r="C71" t="str">
            <v>CASTELLANOS ALFONSO PABLO ARMANDO</v>
          </cell>
          <cell r="D71" t="str">
            <v>ARQUITECTO DELIVERY</v>
          </cell>
        </row>
        <row r="72">
          <cell r="B72" t="str">
            <v>WD000948</v>
          </cell>
          <cell r="C72" t="str">
            <v>RODRIGUEZ MORALES JUAN CAMILO</v>
          </cell>
          <cell r="D72" t="str">
            <v>DIRECTOR FINANCIERO</v>
          </cell>
        </row>
        <row r="73">
          <cell r="B73" t="str">
            <v>WD000911</v>
          </cell>
          <cell r="C73" t="str">
            <v>MOYA RUIZ JAVIER ORLANDO</v>
          </cell>
          <cell r="D73" t="str">
            <v>SOPORTE SENIOR</v>
          </cell>
        </row>
        <row r="74">
          <cell r="B74" t="str">
            <v>WD000884</v>
          </cell>
          <cell r="C74" t="str">
            <v>GOMEZ PUENTES STIVEL ANDRES</v>
          </cell>
          <cell r="D74" t="str">
            <v>SOPORTE SENIOR</v>
          </cell>
        </row>
        <row r="75">
          <cell r="B75" t="str">
            <v>WD000873</v>
          </cell>
          <cell r="C75" t="str">
            <v>MORENO SUAREZ JAIRO HUMBERTO</v>
          </cell>
          <cell r="D75" t="str">
            <v>SOPORTE SENIOR</v>
          </cell>
        </row>
        <row r="76">
          <cell r="B76" t="str">
            <v>WD000943</v>
          </cell>
          <cell r="C76" t="str">
            <v>ROJAS LEON MIGUEL ANGEL</v>
          </cell>
          <cell r="D76" t="str">
            <v>ESPECIALISTA COMERCIO EXTERIOR</v>
          </cell>
        </row>
        <row r="77">
          <cell r="B77" t="str">
            <v>WD000849</v>
          </cell>
          <cell r="C77" t="str">
            <v>SERNA PISSO JUAN CAMILO</v>
          </cell>
          <cell r="D77" t="str">
            <v>SOPORTE JUNIOR</v>
          </cell>
        </row>
        <row r="78">
          <cell r="B78" t="str">
            <v>WD001247</v>
          </cell>
          <cell r="C78" t="str">
            <v>SALAS PABÓN JENNYFER ANDREA</v>
          </cell>
          <cell r="D78" t="str">
            <v>PM JUNIOR</v>
          </cell>
        </row>
        <row r="79">
          <cell r="B79" t="str">
            <v>WD000976</v>
          </cell>
          <cell r="C79" t="str">
            <v>VELASQUEZ BOTERO FABIAN</v>
          </cell>
          <cell r="D79" t="str">
            <v>ESPECIALISTA SOPORTE</v>
          </cell>
        </row>
        <row r="80">
          <cell r="B80" t="str">
            <v>WD001261</v>
          </cell>
          <cell r="C80" t="str">
            <v>MORALES BARRIOS ANDREA PAOLA</v>
          </cell>
          <cell r="D80" t="str">
            <v>ANALISTA ADMINISTRATIVO</v>
          </cell>
        </row>
        <row r="81">
          <cell r="B81" t="str">
            <v>WD000839</v>
          </cell>
          <cell r="C81" t="str">
            <v>REYES PARRA LUIS CARLOS</v>
          </cell>
          <cell r="D81" t="str">
            <v>SOPORTE SENIOR</v>
          </cell>
        </row>
        <row r="82">
          <cell r="B82" t="str">
            <v>WD000853</v>
          </cell>
          <cell r="C82" t="str">
            <v>SANCHEZ CASTAÑEDA SANDRA LILIANA</v>
          </cell>
          <cell r="D82" t="str">
            <v>PM SENIOR</v>
          </cell>
        </row>
        <row r="83">
          <cell r="B83" t="str">
            <v>WD001250</v>
          </cell>
          <cell r="C83" t="str">
            <v>CASTRO RAMOS DAYANNA MICHEL</v>
          </cell>
          <cell r="D83" t="str">
            <v>SOPORTE JUNIOR</v>
          </cell>
        </row>
        <row r="84">
          <cell r="B84" t="str">
            <v>WD000860</v>
          </cell>
          <cell r="C84" t="str">
            <v>BOHORQUEZ MACIAS JEFFER JECID</v>
          </cell>
          <cell r="D84" t="str">
            <v>SOPORTE SENIOR</v>
          </cell>
        </row>
        <row r="85">
          <cell r="B85" t="str">
            <v>WD001228</v>
          </cell>
          <cell r="C85" t="str">
            <v>RAMOS CABRALES ANDRES FELIPE</v>
          </cell>
          <cell r="D85" t="str">
            <v>SOPORTE JUNIOR</v>
          </cell>
        </row>
        <row r="86">
          <cell r="B86" t="str">
            <v>WD001088</v>
          </cell>
          <cell r="C86" t="str">
            <v>ORTEGA ARAUJO JOSE SIMON</v>
          </cell>
          <cell r="D86" t="str">
            <v>SOPORTE JUNIOR</v>
          </cell>
        </row>
        <row r="87">
          <cell r="B87" t="str">
            <v>WD001402</v>
          </cell>
          <cell r="C87" t="str">
            <v>SALCEDO RODRIGUEZ MARIAINI</v>
          </cell>
          <cell r="D87" t="str">
            <v>BECARIO</v>
          </cell>
        </row>
        <row r="88">
          <cell r="B88" t="str">
            <v>WD000914</v>
          </cell>
          <cell r="C88" t="str">
            <v>VALERO PULIDO JHONATAN ALEJANDRO</v>
          </cell>
          <cell r="D88" t="str">
            <v>SOPORTE JUNIOR</v>
          </cell>
        </row>
        <row r="89">
          <cell r="B89" t="str">
            <v>WD001443</v>
          </cell>
          <cell r="C89" t="str">
            <v>RICARDO ALFONSO LOAIZA ROA</v>
          </cell>
          <cell r="D89" t="str">
            <v>ESPECIALISTA DELIVERY</v>
          </cell>
        </row>
        <row r="90">
          <cell r="B90" t="str">
            <v>ORMAZABAL</v>
          </cell>
          <cell r="C90" t="str">
            <v>NIETO CAÑON EDWIN DUVAN</v>
          </cell>
          <cell r="D90" t="str">
            <v>REGIONAL SALES &amp; ENGINEERING MANAGER CONO NORTE</v>
          </cell>
        </row>
        <row r="91">
          <cell r="B91" t="str">
            <v>WD001050</v>
          </cell>
          <cell r="C91" t="str">
            <v>VASQUEZ GARCIA BRALLAN DAVID</v>
          </cell>
          <cell r="D91" t="str">
            <v>SOPORTE SENIOR</v>
          </cell>
        </row>
        <row r="92">
          <cell r="B92" t="str">
            <v>WD001231</v>
          </cell>
          <cell r="C92" t="str">
            <v>TRUJILLO ROJAS CARLOS GERMÁN</v>
          </cell>
          <cell r="D92" t="str">
            <v>PREVENTA</v>
          </cell>
        </row>
        <row r="93">
          <cell r="B93" t="str">
            <v>WD001246</v>
          </cell>
          <cell r="C93" t="str">
            <v>SANCHEZ IBAÑEZ ALEJANDRO MAURICIO</v>
          </cell>
          <cell r="D93" t="str">
            <v>SOPORTE SENIOR</v>
          </cell>
        </row>
        <row r="94">
          <cell r="B94" t="str">
            <v>WD000925</v>
          </cell>
          <cell r="C94" t="str">
            <v>RODRIGUEZ MONTAÑO MARYI KATALINA</v>
          </cell>
          <cell r="D94" t="str">
            <v>ANALISTA DE RECAUDO</v>
          </cell>
        </row>
        <row r="95">
          <cell r="B95" t="str">
            <v>WD001195</v>
          </cell>
          <cell r="C95" t="str">
            <v>VEGA ESCOBAR RAYNER</v>
          </cell>
          <cell r="D95" t="str">
            <v>SOPORTE SENIOR</v>
          </cell>
        </row>
        <row r="96">
          <cell r="B96" t="str">
            <v>WD000945</v>
          </cell>
          <cell r="C96" t="str">
            <v>QUINTERO QUINTERO JULIÁN ANDRÉS</v>
          </cell>
          <cell r="D96" t="str">
            <v>LIDER DE GESTION DE CADENA DE SUMUNISTRO</v>
          </cell>
        </row>
        <row r="97">
          <cell r="B97" t="str">
            <v>WD000861</v>
          </cell>
          <cell r="C97" t="str">
            <v>VARGAS CELIS SERGIO ANDRES</v>
          </cell>
          <cell r="D97" t="str">
            <v>SOPORTE SENIOR</v>
          </cell>
        </row>
        <row r="98">
          <cell r="B98" t="str">
            <v>WD001213</v>
          </cell>
          <cell r="C98" t="str">
            <v>AGUIRRE ESCORCIA SERGIO ANDRES</v>
          </cell>
          <cell r="D98" t="str">
            <v>SOPORTE SENIOR</v>
          </cell>
        </row>
        <row r="99">
          <cell r="B99" t="str">
            <v>WD000886</v>
          </cell>
          <cell r="C99" t="str">
            <v>ANGULO ZARAZA OSCAR DAVID</v>
          </cell>
          <cell r="D99" t="str">
            <v>ESPECIALISTA SOPORTE</v>
          </cell>
        </row>
        <row r="100">
          <cell r="B100" t="str">
            <v>WD000893</v>
          </cell>
          <cell r="C100" t="str">
            <v>NAVARRO AYOLA CARLOS MARIO</v>
          </cell>
          <cell r="D100" t="str">
            <v>SOPORTE JUNIOR</v>
          </cell>
        </row>
        <row r="101">
          <cell r="B101" t="str">
            <v>WD001442</v>
          </cell>
          <cell r="C101" t="str">
            <v>MONTIEL MORENO EDWIN DE JESUS</v>
          </cell>
          <cell r="D101" t="str">
            <v>SOPORTE SENIOR</v>
          </cell>
        </row>
        <row r="102">
          <cell r="B102" t="str">
            <v>WD001409</v>
          </cell>
          <cell r="C102" t="str">
            <v>SILVA RAMIREZ CRISTIN ALEJANDRA</v>
          </cell>
          <cell r="D102" t="str">
            <v>BECARIO</v>
          </cell>
        </row>
        <row r="103">
          <cell r="B103" t="str">
            <v>WD000918</v>
          </cell>
          <cell r="C103" t="str">
            <v>SANDOVAL CIFUENTES JHON JAIRO</v>
          </cell>
          <cell r="D103" t="str">
            <v>SOPORTE JUNIOR</v>
          </cell>
        </row>
        <row r="104">
          <cell r="B104" t="str">
            <v>WD001429</v>
          </cell>
          <cell r="C104" t="str">
            <v>BORDA FUENTES JUAN SEBASTIAN</v>
          </cell>
          <cell r="D104" t="str">
            <v>SOPORTE SENIOR</v>
          </cell>
        </row>
        <row r="105">
          <cell r="B105" t="str">
            <v>WD001351</v>
          </cell>
          <cell r="C105" t="str">
            <v>TUMAY BOHORQUEZ EDUAR ALEXIS</v>
          </cell>
          <cell r="D105" t="str">
            <v>SOPORTE SENIOR</v>
          </cell>
        </row>
        <row r="106">
          <cell r="B106" t="str">
            <v>WD000882</v>
          </cell>
          <cell r="C106" t="str">
            <v>RICO MORALES MICHAEL ALFONSO</v>
          </cell>
          <cell r="D106" t="str">
            <v>ESPECIALISTA DELIVERY</v>
          </cell>
        </row>
        <row r="107">
          <cell r="B107" t="str">
            <v>WD000868</v>
          </cell>
          <cell r="C107" t="str">
            <v>ABUCHAIBE GONZALEZ NASSER ABRAHAM</v>
          </cell>
          <cell r="D107" t="str">
            <v>INGENIERO DESARROLLO SOFTWARE</v>
          </cell>
        </row>
        <row r="108">
          <cell r="B108" t="str">
            <v>WD000864</v>
          </cell>
          <cell r="C108" t="str">
            <v>GARZON LEMUS ALESSANDRA</v>
          </cell>
          <cell r="D108" t="str">
            <v>SOPORTE JUNIOR</v>
          </cell>
        </row>
        <row r="109">
          <cell r="B109" t="str">
            <v>WD001051</v>
          </cell>
          <cell r="C109" t="str">
            <v>VALENCIA CARMONA CHRISTIAN JULIAN</v>
          </cell>
          <cell r="D109" t="str">
            <v>GERENTE DE PROYECTOS Y SERVICIOS</v>
          </cell>
        </row>
        <row r="110">
          <cell r="B110" t="str">
            <v>WD001333</v>
          </cell>
          <cell r="C110" t="str">
            <v>ACEVEDO HINCAPIE JUAN RICARDO</v>
          </cell>
          <cell r="D110" t="str">
            <v>ESPECIALISTA DELIVERY</v>
          </cell>
        </row>
        <row r="111">
          <cell r="B111" t="str">
            <v>WD000901</v>
          </cell>
          <cell r="C111" t="str">
            <v>QUINTO TORRES WILDER ANDRES</v>
          </cell>
          <cell r="D111" t="str">
            <v>SOPORTE JUNIOR</v>
          </cell>
        </row>
        <row r="112">
          <cell r="B112" t="str">
            <v>WD001400</v>
          </cell>
          <cell r="C112" t="str">
            <v>POLO SIERRA BRAYAN JOSE</v>
          </cell>
          <cell r="D112" t="str">
            <v>BECARIO</v>
          </cell>
        </row>
        <row r="113">
          <cell r="B113" t="str">
            <v>WD000902</v>
          </cell>
          <cell r="C113" t="str">
            <v>BELTRÁN SALAZAR SAMIRNA ESPERANZA</v>
          </cell>
          <cell r="D113" t="str">
            <v>COORDINADOR OPERATIVO</v>
          </cell>
        </row>
        <row r="114">
          <cell r="B114" t="str">
            <v>WD000909</v>
          </cell>
          <cell r="C114" t="str">
            <v>SUAREZ SANDOVAL JUAN SEBASTIAN</v>
          </cell>
          <cell r="D114" t="str">
            <v>ACCOUNT MANAGER</v>
          </cell>
        </row>
        <row r="115">
          <cell r="B115" t="str">
            <v>WD001225</v>
          </cell>
          <cell r="C115" t="str">
            <v>CARDONA HERNANDEZ YURI FERNANDA</v>
          </cell>
          <cell r="D115" t="str">
            <v>ACCOUNT MANAGER</v>
          </cell>
        </row>
        <row r="116">
          <cell r="B116" t="str">
            <v>WD000836</v>
          </cell>
          <cell r="C116" t="str">
            <v>RAMIREZ VELA AURA MILAGROS</v>
          </cell>
          <cell r="D116" t="str">
            <v>SERVICE DELIVERY MANAGER</v>
          </cell>
        </row>
        <row r="117">
          <cell r="B117" t="str">
            <v>WD001384</v>
          </cell>
          <cell r="C117" t="str">
            <v>ROJANO PEÑA ALBERTO LUIS</v>
          </cell>
          <cell r="D117" t="str">
            <v>BECARIO</v>
          </cell>
        </row>
        <row r="118">
          <cell r="B118" t="str">
            <v>WD000938</v>
          </cell>
          <cell r="C118" t="str">
            <v>AVENDAÑO DAZA ELVA LETICIA</v>
          </cell>
          <cell r="D118" t="str">
            <v>AUXILIAR DE SERVICIOS GENERALES</v>
          </cell>
        </row>
        <row r="119">
          <cell r="B119" t="str">
            <v>WD001317</v>
          </cell>
          <cell r="C119" t="str">
            <v>ZAPATA PINILLA JUAN DAVID</v>
          </cell>
          <cell r="D119" t="str">
            <v>PREVENTA</v>
          </cell>
        </row>
        <row r="120">
          <cell r="B120" t="str">
            <v>WD000887</v>
          </cell>
          <cell r="C120" t="str">
            <v>TRIVIÑO VASQUEZ ERICA MARCELA</v>
          </cell>
          <cell r="D120" t="str">
            <v>ACCOUNT MANAGER</v>
          </cell>
        </row>
        <row r="121">
          <cell r="B121" t="str">
            <v>WD000975</v>
          </cell>
          <cell r="C121" t="str">
            <v>BARRIOS CONTRERAS JESUS EDUARDO</v>
          </cell>
          <cell r="D121" t="str">
            <v>GERENTE DE INGENIERIA</v>
          </cell>
        </row>
        <row r="122">
          <cell r="B122" t="str">
            <v>WD001382</v>
          </cell>
          <cell r="C122" t="str">
            <v>CACERES JAIMES WILLIAM YUNEL</v>
          </cell>
          <cell r="D122" t="str">
            <v>ARQUITECTO DELIVERY</v>
          </cell>
        </row>
        <row r="123">
          <cell r="B123" t="str">
            <v>WD000852</v>
          </cell>
          <cell r="C123" t="str">
            <v>SANCHEZ VILLAMIL ANA MILENA</v>
          </cell>
          <cell r="D123" t="str">
            <v>LIDER DESARROLLO DE SOFTWARE</v>
          </cell>
        </row>
        <row r="124">
          <cell r="B124" t="str">
            <v>WD001392</v>
          </cell>
          <cell r="C124" t="str">
            <v>ALVAREZ CRISTANCHO ANGELA PAOLA</v>
          </cell>
          <cell r="D124" t="str">
            <v>DIRECTORA DE CAPITAL HUMANO</v>
          </cell>
        </row>
        <row r="125">
          <cell r="B125" t="str">
            <v>WD000931</v>
          </cell>
          <cell r="C125" t="str">
            <v>PINEDA ACERO JULIA ANDREA</v>
          </cell>
          <cell r="D125" t="str">
            <v>DEVOPS MANAGER</v>
          </cell>
        </row>
        <row r="126">
          <cell r="B126" t="str">
            <v>WD000847</v>
          </cell>
          <cell r="C126" t="str">
            <v>RUSSI ALFONSO MARYLUZ</v>
          </cell>
          <cell r="D126" t="str">
            <v>COORDINADORA DE NOC – SOC</v>
          </cell>
        </row>
        <row r="127">
          <cell r="B127" t="str">
            <v>WD001019</v>
          </cell>
          <cell r="C127" t="str">
            <v>FORERO CARRERO DIANA CAROLINA</v>
          </cell>
          <cell r="D127" t="str">
            <v>ADMINISTRACION DE PERSONAL</v>
          </cell>
        </row>
        <row r="128">
          <cell r="B128" t="str">
            <v>WD000898</v>
          </cell>
          <cell r="C128" t="str">
            <v>ORTIZ RICO PAOLA MILENA</v>
          </cell>
          <cell r="D128" t="str">
            <v>COORDINADORA SDM</v>
          </cell>
        </row>
        <row r="129">
          <cell r="B129" t="str">
            <v>WD001373</v>
          </cell>
          <cell r="C129" t="str">
            <v>LOZANO DEVIA LINA ESPERANZA</v>
          </cell>
          <cell r="D129" t="str">
            <v>COORDINADORA SDM</v>
          </cell>
        </row>
        <row r="130">
          <cell r="B130" t="str">
            <v>WD000946</v>
          </cell>
          <cell r="C130" t="str">
            <v>VALENCIA CASTAÑO JENNIFER</v>
          </cell>
          <cell r="D130" t="str">
            <v>ANALISTA DE CONTROLLING</v>
          </cell>
        </row>
        <row r="131">
          <cell r="B131" t="str">
            <v>WD001438</v>
          </cell>
          <cell r="C131" t="str">
            <v>DIAZ SALDAÑA LEYDI YINETH</v>
          </cell>
          <cell r="D131" t="str">
            <v>SOPORTE SENIOR</v>
          </cell>
        </row>
        <row r="132">
          <cell r="B132" t="str">
            <v>WD000974</v>
          </cell>
          <cell r="C132" t="str">
            <v>CAMACHO REBOLLEDO RAUL ROBERTO</v>
          </cell>
          <cell r="D132" t="str">
            <v>SOPORTE SENIOR</v>
          </cell>
        </row>
        <row r="133">
          <cell r="B133" t="str">
            <v>WD001011</v>
          </cell>
          <cell r="C133" t="str">
            <v>ORTEGA TORRES TANIA ESMERALDA</v>
          </cell>
          <cell r="D133" t="str">
            <v>COORDINADOR SDM</v>
          </cell>
        </row>
        <row r="134">
          <cell r="B134" t="str">
            <v>WD001010</v>
          </cell>
          <cell r="C134" t="str">
            <v>YARANGA JORGE GUILLERMO MELCHOR</v>
          </cell>
          <cell r="D134" t="str">
            <v>SOPORTE SENIOR</v>
          </cell>
        </row>
        <row r="135">
          <cell r="B135" t="str">
            <v>WD000897</v>
          </cell>
          <cell r="C135" t="str">
            <v>GAVIRIA HINCAPIE EDISSON DARIO</v>
          </cell>
          <cell r="D135" t="str">
            <v>PREVENTA</v>
          </cell>
        </row>
        <row r="136">
          <cell r="B136" t="str">
            <v>WD000923</v>
          </cell>
          <cell r="C136" t="str">
            <v>RAIGOZA LOAIZA CESAR ARLEY</v>
          </cell>
          <cell r="D136" t="str">
            <v>ESPECIALISTA SOPORTE</v>
          </cell>
        </row>
        <row r="137">
          <cell r="B137" t="str">
            <v>WD000823</v>
          </cell>
          <cell r="C137" t="str">
            <v>BUITRAGO GUARIN LUIS FERNANDO</v>
          </cell>
          <cell r="D137" t="str">
            <v>ACCOUNT MANAGER</v>
          </cell>
        </row>
        <row r="138">
          <cell r="B138" t="str">
            <v>WD000871</v>
          </cell>
          <cell r="C138" t="str">
            <v>DIAZ QUINTERO OSCAR FERNANDO</v>
          </cell>
          <cell r="D138" t="str">
            <v>PM SENIOR</v>
          </cell>
        </row>
        <row r="139">
          <cell r="B139" t="str">
            <v>WD000824</v>
          </cell>
          <cell r="C139" t="str">
            <v>RABE NIETO RENE ALEJANDRO</v>
          </cell>
          <cell r="D139" t="str">
            <v>ACCOUNT MANAGER</v>
          </cell>
        </row>
        <row r="140">
          <cell r="B140" t="str">
            <v>WD001212</v>
          </cell>
          <cell r="C140" t="str">
            <v>RUIZ OBANDO ANDRE FABIAN</v>
          </cell>
          <cell r="D140" t="str">
            <v>SOPORTE SENIOR</v>
          </cell>
        </row>
        <row r="141">
          <cell r="B141" t="str">
            <v>WD001427</v>
          </cell>
          <cell r="C141" t="str">
            <v>ZAMBRANO MONROY RAUL ENRIQUE</v>
          </cell>
          <cell r="D141" t="str">
            <v>SOPORTE JUNIOR</v>
          </cell>
        </row>
        <row r="142">
          <cell r="B142" t="str">
            <v>WD000870</v>
          </cell>
          <cell r="C142" t="str">
            <v>MARTINEZ HERRERA JOHNNY FERNANDO</v>
          </cell>
          <cell r="D142" t="str">
            <v>SOPORTE JUNIOR</v>
          </cell>
        </row>
        <row r="143">
          <cell r="B143" t="str">
            <v>WD000872</v>
          </cell>
          <cell r="C143" t="str">
            <v>OSPINA HERNANDEZ SIDDA RISHI</v>
          </cell>
          <cell r="D143" t="str">
            <v>PREVENTA</v>
          </cell>
        </row>
        <row r="144">
          <cell r="B144" t="str">
            <v>WD000828</v>
          </cell>
          <cell r="C144" t="str">
            <v>PEREZ NIETO JUAN CARLOS</v>
          </cell>
          <cell r="D144" t="str">
            <v>ESPECIALISTA DELIVERY</v>
          </cell>
        </row>
        <row r="145">
          <cell r="B145" t="str">
            <v>WD000941</v>
          </cell>
          <cell r="C145" t="str">
            <v>SAAVEDRA ARIAS MAIKEN ALEXANDRO</v>
          </cell>
          <cell r="D145" t="str">
            <v>ACCOUNT MANAGER</v>
          </cell>
        </row>
        <row r="146">
          <cell r="B146" t="str">
            <v>WD001236</v>
          </cell>
          <cell r="C146" t="str">
            <v>DUARTE SABOGAL RODOLFO MANUEL</v>
          </cell>
          <cell r="D146" t="str">
            <v>LIDER DE DESARROLLO DE SOFTWARE DEL NEGOCIO</v>
          </cell>
        </row>
        <row r="147">
          <cell r="B147" t="str">
            <v>WD001055</v>
          </cell>
          <cell r="C147" t="str">
            <v>SERRANO MENESES EDISSON HERNANDO</v>
          </cell>
          <cell r="D147" t="str">
            <v>SOPORTE SENIOR</v>
          </cell>
        </row>
        <row r="148">
          <cell r="B148" t="str">
            <v>WD000942</v>
          </cell>
          <cell r="C148" t="str">
            <v>CUELLAR TOVAR HAROL</v>
          </cell>
          <cell r="D148" t="str">
            <v>DIRECTOR COMERCIAL</v>
          </cell>
        </row>
        <row r="149">
          <cell r="B149" t="str">
            <v>WD000865</v>
          </cell>
          <cell r="C149" t="str">
            <v>LEON BARAHONA DAGO ARMANDO</v>
          </cell>
          <cell r="D149" t="str">
            <v>COORDINADOR SDM</v>
          </cell>
        </row>
        <row r="150">
          <cell r="B150" t="str">
            <v>WD001146</v>
          </cell>
          <cell r="C150" t="str">
            <v>SEGURA TOCORA NESTOR GABRIEL ENRIQUE</v>
          </cell>
          <cell r="D150" t="str">
            <v>ACCOUNT MANAGER</v>
          </cell>
        </row>
        <row r="151">
          <cell r="B151" t="str">
            <v>WD000840</v>
          </cell>
          <cell r="C151" t="str">
            <v>BONILLA CORTES GUSTAVO ADOLFO</v>
          </cell>
          <cell r="D151" t="str">
            <v>ARQUITECTO DE PREVENTA</v>
          </cell>
        </row>
        <row r="152">
          <cell r="B152" t="str">
            <v>WD000877</v>
          </cell>
          <cell r="C152" t="str">
            <v>ORTIZ CASALLAS CARLOS ANDRES</v>
          </cell>
          <cell r="D152" t="str">
            <v>SOPORTE SENIOR</v>
          </cell>
        </row>
        <row r="153">
          <cell r="B153" t="str">
            <v>WD000892</v>
          </cell>
          <cell r="C153" t="str">
            <v>SANDOVAL GOMEZ CESAR AUGUSTO</v>
          </cell>
          <cell r="D153" t="str">
            <v>ESPECIALISTA DELIVERY</v>
          </cell>
        </row>
        <row r="154">
          <cell r="B154" t="str">
            <v>ORMAZABAL</v>
          </cell>
          <cell r="C154" t="str">
            <v>MURILLO MARQUEZ ELIAS EDUARDO</v>
          </cell>
          <cell r="D154" t="str">
            <v>BACK OFFICE-PREVENTA</v>
          </cell>
        </row>
        <row r="155">
          <cell r="B155" t="str">
            <v>WD001205</v>
          </cell>
          <cell r="C155" t="str">
            <v>SANCHEZ ZAMUDIO JOSÉ LUIS</v>
          </cell>
          <cell r="D155" t="str">
            <v>ARQUITECTO DE PREVENTA</v>
          </cell>
        </row>
        <row r="156">
          <cell r="B156" t="str">
            <v>WD000874</v>
          </cell>
          <cell r="C156" t="str">
            <v>ROJAS GUERRERO DAVID WBEIMAR</v>
          </cell>
          <cell r="D156" t="str">
            <v>SOPORTE JUNIOR</v>
          </cell>
        </row>
        <row r="157">
          <cell r="B157" t="str">
            <v>WD000835</v>
          </cell>
          <cell r="C157" t="str">
            <v>GOMEZ MORA OSCAR JULIAN</v>
          </cell>
          <cell r="D157" t="str">
            <v>DIRECTOR DE OPERACIONES</v>
          </cell>
        </row>
        <row r="158">
          <cell r="B158" t="str">
            <v>WD000827</v>
          </cell>
          <cell r="C158" t="str">
            <v>VILLAMIL GORDILLO CESAR AUGUSTO</v>
          </cell>
          <cell r="D158" t="str">
            <v>DIRECTOR GENERAL</v>
          </cell>
        </row>
        <row r="159">
          <cell r="B159" t="str">
            <v>WD000950</v>
          </cell>
          <cell r="C159" t="str">
            <v>CHARA PARRA BERNARDO</v>
          </cell>
          <cell r="D159" t="str">
            <v>ACCOUNT MANAGER</v>
          </cell>
        </row>
        <row r="160">
          <cell r="B160" t="str">
            <v>WD001368</v>
          </cell>
          <cell r="C160" t="str">
            <v>QUIROGA TORRES JAIME ANDRES</v>
          </cell>
          <cell r="D160" t="str">
            <v>ARQUITECTO DELIVERY</v>
          </cell>
        </row>
        <row r="161">
          <cell r="B161" t="str">
            <v>WD000929</v>
          </cell>
          <cell r="C161" t="str">
            <v>OLMOS  JOHN ALEXANDER</v>
          </cell>
          <cell r="D161" t="str">
            <v>SOPORTE SENIOR</v>
          </cell>
        </row>
        <row r="162">
          <cell r="B162" t="str">
            <v>WD000934</v>
          </cell>
          <cell r="C162" t="str">
            <v>ANGEL TOCARRUNCHO CARLOS ALBERTO</v>
          </cell>
          <cell r="D162" t="str">
            <v>SOPORTE SENIOR</v>
          </cell>
        </row>
        <row r="163">
          <cell r="B163" t="str">
            <v>WD001374</v>
          </cell>
          <cell r="C163" t="str">
            <v>DOZA PIÑA EDGAR EDUARDO</v>
          </cell>
          <cell r="D163" t="str">
            <v>CONSULTOR TÉCNICO COMERCIAL ESTRATÉGICO</v>
          </cell>
        </row>
        <row r="164">
          <cell r="B164" t="str">
            <v>WD001086</v>
          </cell>
          <cell r="C164" t="str">
            <v>ROSAS CASTAÑEDA JAIR MANUEL</v>
          </cell>
          <cell r="D164" t="str">
            <v>ESPECIALISTA SOPORTE</v>
          </cell>
        </row>
        <row r="165">
          <cell r="B165" t="str">
            <v>WD000846</v>
          </cell>
          <cell r="C165" t="str">
            <v>LOZANO CASTAÑEDA WILMAR YEZID</v>
          </cell>
          <cell r="D165" t="str">
            <v>SOPORTE SENIOR</v>
          </cell>
        </row>
        <row r="166">
          <cell r="B166" t="str">
            <v>WD001404</v>
          </cell>
          <cell r="C166" t="str">
            <v>SUAREZ SUAREZ CRISTIAN CAMILO</v>
          </cell>
          <cell r="D166" t="str">
            <v>SOPORTE SENIOR</v>
          </cell>
        </row>
        <row r="167">
          <cell r="B167" t="str">
            <v>WD000843</v>
          </cell>
          <cell r="C167" t="str">
            <v>GUEVARA HERNANDEZ MIGUEL ANGEL</v>
          </cell>
          <cell r="D167" t="str">
            <v>ARQUITECTO DE SERVICIOS</v>
          </cell>
        </row>
        <row r="168">
          <cell r="B168" t="str">
            <v>WD000885</v>
          </cell>
          <cell r="C168" t="str">
            <v>RODRIGUEZ AGUDELO CARLOS GUILLERMO</v>
          </cell>
          <cell r="D168" t="str">
            <v>SOPORTE SENIOR</v>
          </cell>
        </row>
        <row r="169">
          <cell r="B169" t="str">
            <v>WD001406</v>
          </cell>
          <cell r="C169" t="str">
            <v>SANCHEZ RODRIGUEZ PABLO ANDRES</v>
          </cell>
          <cell r="D169" t="str">
            <v>SOPORTE JUNIOR</v>
          </cell>
        </row>
        <row r="170">
          <cell r="B170" t="str">
            <v>WD001446</v>
          </cell>
          <cell r="C170" t="str">
            <v>GRISALES MARIN JAIME</v>
          </cell>
          <cell r="D170" t="str">
            <v>ACCOUNT MANAGER</v>
          </cell>
        </row>
        <row r="171">
          <cell r="B171" t="str">
            <v>WD000832</v>
          </cell>
          <cell r="C171" t="str">
            <v>MARTINEZ MORENO MAURICIO</v>
          </cell>
          <cell r="D171" t="str">
            <v>DIRECTOR INGENIERIA PREVENTA</v>
          </cell>
        </row>
        <row r="172">
          <cell r="B172" t="str">
            <v>WD000971</v>
          </cell>
          <cell r="C172" t="str">
            <v>RIOS BUSTAMANTE RUBEN DARIO</v>
          </cell>
          <cell r="D172" t="str">
            <v>SOPORTE SENIOR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7C90-E6AE-4FFF-A47C-D03098AFA49F}">
  <sheetPr filterMode="1"/>
  <dimension ref="A1:K161"/>
  <sheetViews>
    <sheetView tabSelected="1" topLeftCell="H1" workbookViewId="0">
      <selection activeCell="G121" sqref="G121"/>
    </sheetView>
  </sheetViews>
  <sheetFormatPr defaultColWidth="8.69140625" defaultRowHeight="12.45" x14ac:dyDescent="0.3"/>
  <cols>
    <col min="1" max="1" width="23.15234375" style="4" bestFit="1" customWidth="1"/>
    <col min="2" max="2" width="14.84375" style="4" bestFit="1" customWidth="1"/>
    <col min="3" max="3" width="47.4609375" style="4" bestFit="1" customWidth="1"/>
    <col min="4" max="4" width="9.07421875" style="4" bestFit="1" customWidth="1"/>
    <col min="5" max="5" width="37.61328125" style="4" bestFit="1" customWidth="1"/>
    <col min="6" max="6" width="19.61328125" style="4" bestFit="1" customWidth="1"/>
    <col min="7" max="7" width="25.07421875" style="4" bestFit="1" customWidth="1"/>
    <col min="8" max="8" width="36" style="4" bestFit="1" customWidth="1"/>
    <col min="9" max="9" width="48.84375" style="4" bestFit="1" customWidth="1"/>
    <col min="10" max="10" width="39.3828125" style="4" bestFit="1" customWidth="1"/>
    <col min="11" max="11" width="16.23046875" style="4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569</v>
      </c>
      <c r="I1" s="1" t="s">
        <v>570</v>
      </c>
      <c r="J1" s="1" t="s">
        <v>7</v>
      </c>
      <c r="K1" s="1" t="s">
        <v>8</v>
      </c>
    </row>
    <row r="2" spans="1:11" hidden="1" x14ac:dyDescent="0.3">
      <c r="A2" s="2" t="s">
        <v>9</v>
      </c>
      <c r="B2" s="2" t="s">
        <v>29</v>
      </c>
      <c r="C2" s="2" t="s">
        <v>13</v>
      </c>
      <c r="D2" s="2" t="s">
        <v>12</v>
      </c>
      <c r="E2" s="2" t="s">
        <v>30</v>
      </c>
      <c r="F2" s="2" t="s">
        <v>31</v>
      </c>
      <c r="G2" s="3">
        <v>42472</v>
      </c>
      <c r="H2" s="2"/>
      <c r="I2" s="2" t="str">
        <f>+VLOOKUP(B2,[1]MAYO!$B$9:$D$172,3,0)</f>
        <v>DIRECTOR GENERAL</v>
      </c>
      <c r="J2" s="2" t="s">
        <v>32</v>
      </c>
      <c r="K2" s="2" t="s">
        <v>18</v>
      </c>
    </row>
    <row r="3" spans="1:11" ht="24.9" hidden="1" x14ac:dyDescent="0.3">
      <c r="A3" s="2" t="s">
        <v>9</v>
      </c>
      <c r="B3" s="2" t="s">
        <v>461</v>
      </c>
      <c r="C3" s="2" t="s">
        <v>462</v>
      </c>
      <c r="D3" s="2" t="s">
        <v>12</v>
      </c>
      <c r="E3" s="2" t="s">
        <v>417</v>
      </c>
      <c r="F3" s="2" t="s">
        <v>463</v>
      </c>
      <c r="G3" s="3">
        <v>45931</v>
      </c>
      <c r="H3" s="2" t="s">
        <v>138</v>
      </c>
      <c r="I3" s="2" t="str">
        <f>+VLOOKUP(B3,[1]MAYO!$B$9:$D$172,3,0)</f>
        <v>INGENIERO DESARROLLO SOFTWARE</v>
      </c>
      <c r="J3" s="2" t="s">
        <v>419</v>
      </c>
      <c r="K3" s="2" t="s">
        <v>18</v>
      </c>
    </row>
    <row r="4" spans="1:11" ht="24.9" hidden="1" x14ac:dyDescent="0.3">
      <c r="A4" s="2" t="s">
        <v>9</v>
      </c>
      <c r="B4" s="2" t="s">
        <v>476</v>
      </c>
      <c r="C4" s="2" t="s">
        <v>477</v>
      </c>
      <c r="D4" s="2" t="s">
        <v>12</v>
      </c>
      <c r="E4" s="2" t="s">
        <v>417</v>
      </c>
      <c r="F4" s="2" t="s">
        <v>478</v>
      </c>
      <c r="G4" s="3">
        <v>45965</v>
      </c>
      <c r="H4" s="2" t="s">
        <v>138</v>
      </c>
      <c r="I4" s="2" t="str">
        <f>+VLOOKUP(B4,[1]MAYO!$B$9:$D$172,3,0)</f>
        <v>INGENIERO DESARROLLO SOFTWARE</v>
      </c>
      <c r="J4" s="2" t="s">
        <v>419</v>
      </c>
      <c r="K4" s="2" t="s">
        <v>18</v>
      </c>
    </row>
    <row r="5" spans="1:11" ht="24.9" hidden="1" x14ac:dyDescent="0.3">
      <c r="A5" s="2" t="s">
        <v>9</v>
      </c>
      <c r="B5" s="2" t="s">
        <v>416</v>
      </c>
      <c r="C5" s="2" t="s">
        <v>417</v>
      </c>
      <c r="D5" s="2" t="s">
        <v>12</v>
      </c>
      <c r="E5" s="2" t="s">
        <v>13</v>
      </c>
      <c r="F5" s="2" t="s">
        <v>418</v>
      </c>
      <c r="G5" s="3">
        <v>45796</v>
      </c>
      <c r="H5" s="2" t="s">
        <v>105</v>
      </c>
      <c r="I5" s="2" t="str">
        <f>+VLOOKUP(B5,[1]MAYO!$B$9:$D$172,3,0)</f>
        <v>LIDER DE DESARROLLO DE SOFTWARE DEL NEGOCIO</v>
      </c>
      <c r="J5" s="2" t="s">
        <v>419</v>
      </c>
      <c r="K5" s="2" t="s">
        <v>18</v>
      </c>
    </row>
    <row r="6" spans="1:11" hidden="1" x14ac:dyDescent="0.3">
      <c r="A6" s="2" t="s">
        <v>9</v>
      </c>
      <c r="B6" s="2" t="s">
        <v>525</v>
      </c>
      <c r="C6" s="2" t="s">
        <v>526</v>
      </c>
      <c r="D6" s="2" t="s">
        <v>12</v>
      </c>
      <c r="E6" s="2" t="s">
        <v>228</v>
      </c>
      <c r="F6" s="2" t="s">
        <v>527</v>
      </c>
      <c r="G6" s="3">
        <v>46066</v>
      </c>
      <c r="H6" s="2" t="s">
        <v>436</v>
      </c>
      <c r="I6" s="2" t="str">
        <f>+VLOOKUP(B6,[1]MAYO!$B$9:$D$172,3,0)</f>
        <v>BECARIO</v>
      </c>
      <c r="J6" s="2" t="s">
        <v>231</v>
      </c>
      <c r="K6" s="2" t="s">
        <v>18</v>
      </c>
    </row>
    <row r="7" spans="1:11" hidden="1" x14ac:dyDescent="0.3">
      <c r="A7" s="2" t="s">
        <v>9</v>
      </c>
      <c r="B7" s="2" t="s">
        <v>429</v>
      </c>
      <c r="C7" s="2" t="s">
        <v>430</v>
      </c>
      <c r="D7" s="2" t="s">
        <v>12</v>
      </c>
      <c r="E7" s="2" t="s">
        <v>228</v>
      </c>
      <c r="F7" s="2" t="s">
        <v>431</v>
      </c>
      <c r="G7" s="3">
        <v>45842</v>
      </c>
      <c r="H7" s="2" t="s">
        <v>432</v>
      </c>
      <c r="I7" s="2" t="str">
        <f>+VLOOKUP(B7,[1]MAYO!$B$9:$D$172,3,0)</f>
        <v>OFICIAL DE CUMPLIMIENTO</v>
      </c>
      <c r="J7" s="2" t="s">
        <v>231</v>
      </c>
      <c r="K7" s="2" t="s">
        <v>18</v>
      </c>
    </row>
    <row r="8" spans="1:11" hidden="1" x14ac:dyDescent="0.3">
      <c r="A8" s="2" t="s">
        <v>9</v>
      </c>
      <c r="B8" s="2" t="s">
        <v>226</v>
      </c>
      <c r="C8" s="2" t="s">
        <v>227</v>
      </c>
      <c r="D8" s="2" t="s">
        <v>12</v>
      </c>
      <c r="E8" s="2" t="s">
        <v>228</v>
      </c>
      <c r="F8" s="2" t="s">
        <v>229</v>
      </c>
      <c r="G8" s="3">
        <v>45252</v>
      </c>
      <c r="H8" s="2" t="s">
        <v>230</v>
      </c>
      <c r="I8" s="2" t="str">
        <f>+VLOOKUP(B8,[1]MAYO!$B$9:$D$172,3,0)</f>
        <v>PROFESIONAL HSEQ</v>
      </c>
      <c r="J8" s="2" t="s">
        <v>231</v>
      </c>
      <c r="K8" s="2" t="s">
        <v>18</v>
      </c>
    </row>
    <row r="9" spans="1:11" hidden="1" x14ac:dyDescent="0.3">
      <c r="A9" s="2" t="s">
        <v>9</v>
      </c>
      <c r="B9" s="2" t="s">
        <v>235</v>
      </c>
      <c r="C9" s="2" t="s">
        <v>236</v>
      </c>
      <c r="D9" s="2" t="s">
        <v>12</v>
      </c>
      <c r="E9" s="2" t="s">
        <v>21</v>
      </c>
      <c r="F9" s="2" t="s">
        <v>237</v>
      </c>
      <c r="G9" s="3">
        <v>45266</v>
      </c>
      <c r="H9" s="2" t="s">
        <v>238</v>
      </c>
      <c r="I9" s="2" t="str">
        <f>+VLOOKUP(B9,[1]MAYO!$B$9:$D$172,3,0)</f>
        <v>ANALISTA COMERCIAL</v>
      </c>
      <c r="J9" s="2" t="s">
        <v>239</v>
      </c>
      <c r="K9" s="2" t="s">
        <v>18</v>
      </c>
    </row>
    <row r="10" spans="1:11" hidden="1" x14ac:dyDescent="0.3">
      <c r="A10" s="2" t="s">
        <v>9</v>
      </c>
      <c r="B10" s="2" t="s">
        <v>512</v>
      </c>
      <c r="C10" s="2" t="s">
        <v>513</v>
      </c>
      <c r="D10" s="2" t="s">
        <v>12</v>
      </c>
      <c r="E10" s="2" t="s">
        <v>21</v>
      </c>
      <c r="F10" s="2" t="s">
        <v>514</v>
      </c>
      <c r="G10" s="3">
        <v>46041</v>
      </c>
      <c r="H10" s="2" t="s">
        <v>436</v>
      </c>
      <c r="I10" s="2" t="str">
        <f>+VLOOKUP(B10,[1]MAYO!$B$9:$D$172,3,0)</f>
        <v>BECARIO</v>
      </c>
      <c r="J10" s="2" t="s">
        <v>239</v>
      </c>
      <c r="K10" s="2" t="s">
        <v>515</v>
      </c>
    </row>
    <row r="11" spans="1:11" hidden="1" x14ac:dyDescent="0.3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3">
        <v>34827</v>
      </c>
      <c r="H11" s="2" t="s">
        <v>15</v>
      </c>
      <c r="I11" s="2" t="str">
        <f>+VLOOKUP(B11,[1]MAYO!$B$9:$D$172,3,0)</f>
        <v>ACCOUNT MANAGER</v>
      </c>
      <c r="J11" s="2" t="s">
        <v>16</v>
      </c>
      <c r="K11" s="2" t="s">
        <v>18</v>
      </c>
    </row>
    <row r="12" spans="1:11" hidden="1" x14ac:dyDescent="0.3">
      <c r="A12" s="2" t="s">
        <v>9</v>
      </c>
      <c r="B12" s="2" t="s">
        <v>19</v>
      </c>
      <c r="C12" s="2" t="s">
        <v>20</v>
      </c>
      <c r="D12" s="2" t="s">
        <v>12</v>
      </c>
      <c r="E12" s="2" t="s">
        <v>21</v>
      </c>
      <c r="F12" s="2" t="s">
        <v>22</v>
      </c>
      <c r="G12" s="3">
        <v>41289</v>
      </c>
      <c r="H12" s="2" t="s">
        <v>15</v>
      </c>
      <c r="I12" s="2" t="str">
        <f>+VLOOKUP(B12,[1]MAYO!$B$9:$D$172,3,0)</f>
        <v>ACCOUNT MANAGER</v>
      </c>
      <c r="J12" s="2" t="s">
        <v>16</v>
      </c>
      <c r="K12" s="2" t="s">
        <v>18</v>
      </c>
    </row>
    <row r="13" spans="1:11" hidden="1" x14ac:dyDescent="0.3">
      <c r="A13" s="2" t="s">
        <v>9</v>
      </c>
      <c r="B13" s="2" t="s">
        <v>223</v>
      </c>
      <c r="C13" s="2" t="s">
        <v>224</v>
      </c>
      <c r="D13" s="2" t="s">
        <v>12</v>
      </c>
      <c r="E13" s="2" t="s">
        <v>21</v>
      </c>
      <c r="F13" s="2" t="s">
        <v>225</v>
      </c>
      <c r="G13" s="3">
        <v>45252</v>
      </c>
      <c r="H13" s="2" t="s">
        <v>15</v>
      </c>
      <c r="I13" s="2" t="str">
        <f>+VLOOKUP(B13,[1]MAYO!$B$9:$D$172,3,0)</f>
        <v>ACCOUNT MANAGER</v>
      </c>
      <c r="J13" s="2" t="s">
        <v>16</v>
      </c>
      <c r="K13" s="2" t="s">
        <v>18</v>
      </c>
    </row>
    <row r="14" spans="1:11" hidden="1" x14ac:dyDescent="0.3">
      <c r="A14" s="2" t="s">
        <v>9</v>
      </c>
      <c r="B14" s="2" t="s">
        <v>389</v>
      </c>
      <c r="C14" s="2" t="s">
        <v>390</v>
      </c>
      <c r="D14" s="2" t="s">
        <v>12</v>
      </c>
      <c r="E14" s="2" t="s">
        <v>21</v>
      </c>
      <c r="F14" s="2" t="s">
        <v>391</v>
      </c>
      <c r="G14" s="3">
        <v>45691</v>
      </c>
      <c r="H14" s="2" t="s">
        <v>15</v>
      </c>
      <c r="I14" s="2" t="str">
        <f>+VLOOKUP(B14,[1]MAYO!$B$9:$D$172,3,0)</f>
        <v>ACCOUNT MANAGER</v>
      </c>
      <c r="J14" s="2" t="s">
        <v>16</v>
      </c>
      <c r="K14" s="2" t="s">
        <v>18</v>
      </c>
    </row>
    <row r="15" spans="1:11" hidden="1" x14ac:dyDescent="0.3">
      <c r="A15" s="2" t="s">
        <v>9</v>
      </c>
      <c r="B15" s="2" t="s">
        <v>410</v>
      </c>
      <c r="C15" s="2" t="s">
        <v>411</v>
      </c>
      <c r="D15" s="2" t="s">
        <v>12</v>
      </c>
      <c r="E15" s="2" t="s">
        <v>21</v>
      </c>
      <c r="F15" s="2" t="s">
        <v>412</v>
      </c>
      <c r="G15" s="3">
        <v>45782</v>
      </c>
      <c r="H15" s="2" t="s">
        <v>15</v>
      </c>
      <c r="I15" s="2" t="str">
        <f>+VLOOKUP(B15,[1]MAYO!$B$9:$D$172,3,0)</f>
        <v>ACCOUNT MANAGER</v>
      </c>
      <c r="J15" s="2" t="s">
        <v>16</v>
      </c>
      <c r="K15" s="2" t="s">
        <v>246</v>
      </c>
    </row>
    <row r="16" spans="1:11" hidden="1" x14ac:dyDescent="0.3">
      <c r="A16" s="2" t="s">
        <v>9</v>
      </c>
      <c r="B16" s="2" t="s">
        <v>564</v>
      </c>
      <c r="C16" s="2" t="s">
        <v>565</v>
      </c>
      <c r="D16" s="2" t="s">
        <v>12</v>
      </c>
      <c r="E16" s="2" t="s">
        <v>21</v>
      </c>
      <c r="F16" s="2" t="s">
        <v>566</v>
      </c>
      <c r="G16" s="3">
        <v>46154</v>
      </c>
      <c r="H16" s="2" t="s">
        <v>15</v>
      </c>
      <c r="I16" s="2" t="str">
        <f>+VLOOKUP(B16,[1]MAYO!$B$9:$D$172,3,0)</f>
        <v>ACCOUNT MANAGER</v>
      </c>
      <c r="J16" s="2" t="s">
        <v>16</v>
      </c>
      <c r="K16" s="2" t="s">
        <v>50</v>
      </c>
    </row>
    <row r="17" spans="1:11" hidden="1" x14ac:dyDescent="0.3">
      <c r="A17" s="2" t="s">
        <v>9</v>
      </c>
      <c r="B17" s="2" t="s">
        <v>319</v>
      </c>
      <c r="C17" s="2" t="s">
        <v>320</v>
      </c>
      <c r="D17" s="2" t="s">
        <v>12</v>
      </c>
      <c r="E17" s="2" t="s">
        <v>21</v>
      </c>
      <c r="F17" s="2" t="s">
        <v>321</v>
      </c>
      <c r="G17" s="3">
        <v>44445</v>
      </c>
      <c r="H17" s="2" t="s">
        <v>15</v>
      </c>
      <c r="I17" s="2" t="str">
        <f>+VLOOKUP(B17,[1]MAYO!$B$9:$D$172,3,0)</f>
        <v>ACCOUNT MANAGER</v>
      </c>
      <c r="J17" s="2" t="s">
        <v>322</v>
      </c>
      <c r="K17" s="2" t="s">
        <v>18</v>
      </c>
    </row>
    <row r="18" spans="1:11" hidden="1" x14ac:dyDescent="0.3">
      <c r="A18" s="2" t="s">
        <v>9</v>
      </c>
      <c r="B18" s="2" t="s">
        <v>345</v>
      </c>
      <c r="C18" s="2" t="s">
        <v>346</v>
      </c>
      <c r="D18" s="2" t="s">
        <v>12</v>
      </c>
      <c r="E18" s="2" t="s">
        <v>21</v>
      </c>
      <c r="F18" s="2" t="s">
        <v>347</v>
      </c>
      <c r="G18" s="3">
        <v>45313</v>
      </c>
      <c r="H18" s="2" t="s">
        <v>15</v>
      </c>
      <c r="I18" s="2" t="str">
        <f>+VLOOKUP(B18,[1]MAYO!$B$9:$D$172,3,0)</f>
        <v>ACCOUNT MANAGER</v>
      </c>
      <c r="J18" s="2" t="s">
        <v>322</v>
      </c>
      <c r="K18" s="2" t="s">
        <v>18</v>
      </c>
    </row>
    <row r="19" spans="1:11" hidden="1" x14ac:dyDescent="0.3">
      <c r="A19" s="2" t="s">
        <v>9</v>
      </c>
      <c r="B19" s="2" t="s">
        <v>323</v>
      </c>
      <c r="C19" s="2" t="s">
        <v>21</v>
      </c>
      <c r="D19" s="2" t="s">
        <v>12</v>
      </c>
      <c r="E19" s="2" t="s">
        <v>13</v>
      </c>
      <c r="F19" s="2" t="s">
        <v>324</v>
      </c>
      <c r="G19" s="3">
        <v>44445</v>
      </c>
      <c r="H19" s="2" t="s">
        <v>325</v>
      </c>
      <c r="I19" s="2" t="str">
        <f>+VLOOKUP(B19,[1]MAYO!$B$9:$D$172,3,0)</f>
        <v>DIRECTOR COMERCIAL</v>
      </c>
      <c r="J19" s="2" t="s">
        <v>322</v>
      </c>
      <c r="K19" s="2" t="s">
        <v>18</v>
      </c>
    </row>
    <row r="20" spans="1:11" hidden="1" x14ac:dyDescent="0.3">
      <c r="A20" s="2" t="s">
        <v>9</v>
      </c>
      <c r="B20" s="2" t="s">
        <v>190</v>
      </c>
      <c r="C20" s="2" t="s">
        <v>191</v>
      </c>
      <c r="D20" s="2" t="s">
        <v>12</v>
      </c>
      <c r="E20" s="2" t="s">
        <v>13</v>
      </c>
      <c r="F20" s="2" t="s">
        <v>192</v>
      </c>
      <c r="G20" s="3">
        <v>44896</v>
      </c>
      <c r="H20" s="2" t="s">
        <v>15</v>
      </c>
      <c r="I20" s="2" t="str">
        <f>+VLOOKUP(B20,[1]MAYO!$B$9:$D$172,3,0)</f>
        <v>ACCOUNT MANAGER</v>
      </c>
      <c r="J20" s="2" t="s">
        <v>193</v>
      </c>
      <c r="K20" s="2" t="s">
        <v>50</v>
      </c>
    </row>
    <row r="21" spans="1:11" hidden="1" x14ac:dyDescent="0.3">
      <c r="A21" s="2" t="s">
        <v>9</v>
      </c>
      <c r="B21" s="2" t="s">
        <v>46</v>
      </c>
      <c r="C21" s="2" t="s">
        <v>42</v>
      </c>
      <c r="D21" s="2" t="s">
        <v>12</v>
      </c>
      <c r="E21" s="2" t="s">
        <v>13</v>
      </c>
      <c r="F21" s="2" t="s">
        <v>47</v>
      </c>
      <c r="G21" s="3">
        <v>44936</v>
      </c>
      <c r="H21" s="2" t="s">
        <v>48</v>
      </c>
      <c r="I21" s="2" t="str">
        <f>+VLOOKUP(B21,[1]MAYO!$B$9:$D$172,3,0)</f>
        <v>DIRECTOR INGENIERIA PREVENTA</v>
      </c>
      <c r="J21" s="2" t="s">
        <v>49</v>
      </c>
      <c r="K21" s="2" t="s">
        <v>50</v>
      </c>
    </row>
    <row r="22" spans="1:11" hidden="1" x14ac:dyDescent="0.3">
      <c r="A22" s="2" t="s">
        <v>9</v>
      </c>
      <c r="B22" s="2" t="s">
        <v>270</v>
      </c>
      <c r="C22" s="2" t="s">
        <v>271</v>
      </c>
      <c r="D22" s="2" t="s">
        <v>12</v>
      </c>
      <c r="E22" s="2" t="s">
        <v>103</v>
      </c>
      <c r="F22" s="2" t="s">
        <v>272</v>
      </c>
      <c r="G22" s="3">
        <v>45355</v>
      </c>
      <c r="H22" s="2" t="s">
        <v>273</v>
      </c>
      <c r="I22" s="2" t="str">
        <f>+VLOOKUP(B22,[1]MAYO!$B$9:$D$172,3,0)</f>
        <v>DEVOPS MANAGER</v>
      </c>
      <c r="J22" s="2" t="s">
        <v>106</v>
      </c>
      <c r="K22" s="2" t="s">
        <v>18</v>
      </c>
    </row>
    <row r="23" spans="1:11" hidden="1" x14ac:dyDescent="0.3">
      <c r="A23" s="2" t="s">
        <v>9</v>
      </c>
      <c r="B23" s="2" t="s">
        <v>135</v>
      </c>
      <c r="C23" s="2" t="s">
        <v>136</v>
      </c>
      <c r="D23" s="2" t="s">
        <v>12</v>
      </c>
      <c r="E23" s="2" t="s">
        <v>103</v>
      </c>
      <c r="F23" s="2" t="s">
        <v>137</v>
      </c>
      <c r="G23" s="3">
        <v>44566</v>
      </c>
      <c r="H23" s="2" t="s">
        <v>138</v>
      </c>
      <c r="I23" s="2" t="str">
        <f>+VLOOKUP(B23,[1]MAYO!$B$9:$D$172,3,0)</f>
        <v>INGENIERO DESARROLLO SOFTWARE</v>
      </c>
      <c r="J23" s="2" t="s">
        <v>106</v>
      </c>
      <c r="K23" s="2" t="s">
        <v>18</v>
      </c>
    </row>
    <row r="24" spans="1:11" hidden="1" x14ac:dyDescent="0.3">
      <c r="A24" s="2" t="s">
        <v>9</v>
      </c>
      <c r="B24" s="2" t="s">
        <v>163</v>
      </c>
      <c r="C24" s="2" t="s">
        <v>164</v>
      </c>
      <c r="D24" s="2" t="s">
        <v>12</v>
      </c>
      <c r="E24" s="2" t="s">
        <v>103</v>
      </c>
      <c r="F24" s="2" t="s">
        <v>165</v>
      </c>
      <c r="G24" s="3">
        <v>44747</v>
      </c>
      <c r="H24" s="2" t="s">
        <v>138</v>
      </c>
      <c r="I24" s="2" t="str">
        <f>+VLOOKUP(B24,[1]MAYO!$B$9:$D$172,3,0)</f>
        <v>INGENIERO DESARROLLO SOFTWARE</v>
      </c>
      <c r="J24" s="2" t="s">
        <v>106</v>
      </c>
      <c r="K24" s="2" t="s">
        <v>18</v>
      </c>
    </row>
    <row r="25" spans="1:11" hidden="1" x14ac:dyDescent="0.3">
      <c r="A25" s="2" t="s">
        <v>9</v>
      </c>
      <c r="B25" s="2" t="s">
        <v>220</v>
      </c>
      <c r="C25" s="2" t="s">
        <v>221</v>
      </c>
      <c r="D25" s="2" t="s">
        <v>12</v>
      </c>
      <c r="E25" s="2" t="s">
        <v>103</v>
      </c>
      <c r="F25" s="2" t="s">
        <v>222</v>
      </c>
      <c r="G25" s="3">
        <v>45139</v>
      </c>
      <c r="H25" s="2" t="s">
        <v>138</v>
      </c>
      <c r="I25" s="2" t="str">
        <f>+VLOOKUP(B25,[1]MAYO!$B$9:$D$172,3,0)</f>
        <v>INGENIERO DESARROLLO SOFTWARE</v>
      </c>
      <c r="J25" s="2" t="s">
        <v>106</v>
      </c>
      <c r="K25" s="2" t="s">
        <v>18</v>
      </c>
    </row>
    <row r="26" spans="1:11" hidden="1" x14ac:dyDescent="0.3">
      <c r="A26" s="2" t="s">
        <v>9</v>
      </c>
      <c r="B26" s="2" t="s">
        <v>144</v>
      </c>
      <c r="C26" s="2" t="s">
        <v>145</v>
      </c>
      <c r="D26" s="2" t="s">
        <v>12</v>
      </c>
      <c r="E26" s="2" t="s">
        <v>103</v>
      </c>
      <c r="F26" s="2" t="s">
        <v>146</v>
      </c>
      <c r="G26" s="3">
        <v>44683</v>
      </c>
      <c r="H26" s="2" t="s">
        <v>138</v>
      </c>
      <c r="I26" s="2" t="str">
        <f>+VLOOKUP(B26,[1]MAYO!$B$9:$D$172,3,0)</f>
        <v>INGENIERO DESARROLLO SOFTWARE</v>
      </c>
      <c r="J26" s="2" t="s">
        <v>106</v>
      </c>
      <c r="K26" s="2" t="s">
        <v>147</v>
      </c>
    </row>
    <row r="27" spans="1:11" hidden="1" x14ac:dyDescent="0.3">
      <c r="A27" s="2" t="s">
        <v>9</v>
      </c>
      <c r="B27" s="2" t="s">
        <v>102</v>
      </c>
      <c r="C27" s="2" t="s">
        <v>103</v>
      </c>
      <c r="D27" s="2" t="s">
        <v>12</v>
      </c>
      <c r="E27" s="2" t="s">
        <v>42</v>
      </c>
      <c r="F27" s="2" t="s">
        <v>104</v>
      </c>
      <c r="G27" s="3">
        <v>44378</v>
      </c>
      <c r="H27" s="2" t="s">
        <v>105</v>
      </c>
      <c r="I27" s="2" t="str">
        <f>+VLOOKUP(B27,[1]MAYO!$B$9:$D$172,3,0)</f>
        <v>LIDER DESARROLLO DE SOFTWARE</v>
      </c>
      <c r="J27" s="2" t="s">
        <v>106</v>
      </c>
      <c r="K27" s="2" t="s">
        <v>18</v>
      </c>
    </row>
    <row r="28" spans="1:11" hidden="1" x14ac:dyDescent="0.3">
      <c r="A28" s="2" t="s">
        <v>9</v>
      </c>
      <c r="B28" s="2" t="s">
        <v>72</v>
      </c>
      <c r="C28" s="2" t="s">
        <v>73</v>
      </c>
      <c r="D28" s="2" t="s">
        <v>12</v>
      </c>
      <c r="E28" s="2" t="s">
        <v>42</v>
      </c>
      <c r="F28" s="2" t="s">
        <v>74</v>
      </c>
      <c r="G28" s="3">
        <v>44013</v>
      </c>
      <c r="H28" s="2" t="s">
        <v>75</v>
      </c>
      <c r="I28" s="2" t="str">
        <f>+VLOOKUP(B28,[1]MAYO!$B$9:$D$172,3,0)</f>
        <v>ARQUITECTO DE PREVENTA</v>
      </c>
      <c r="J28" s="2" t="s">
        <v>45</v>
      </c>
      <c r="K28" s="2" t="s">
        <v>18</v>
      </c>
    </row>
    <row r="29" spans="1:11" hidden="1" x14ac:dyDescent="0.3">
      <c r="A29" s="2" t="s">
        <v>9</v>
      </c>
      <c r="B29" s="2" t="s">
        <v>401</v>
      </c>
      <c r="C29" s="2" t="s">
        <v>402</v>
      </c>
      <c r="D29" s="2" t="s">
        <v>12</v>
      </c>
      <c r="E29" s="2" t="s">
        <v>42</v>
      </c>
      <c r="F29" s="2" t="s">
        <v>403</v>
      </c>
      <c r="G29" s="3">
        <v>45748</v>
      </c>
      <c r="H29" s="2" t="s">
        <v>75</v>
      </c>
      <c r="I29" s="2" t="str">
        <f>+VLOOKUP(B29,[1]MAYO!$B$9:$D$172,3,0)</f>
        <v>ARQUITECTO DE PREVENTA</v>
      </c>
      <c r="J29" s="2" t="s">
        <v>45</v>
      </c>
      <c r="K29" s="2" t="s">
        <v>18</v>
      </c>
    </row>
    <row r="30" spans="1:11" hidden="1" x14ac:dyDescent="0.3">
      <c r="A30" s="2" t="s">
        <v>9</v>
      </c>
      <c r="B30" s="2" t="s">
        <v>40</v>
      </c>
      <c r="C30" s="2" t="s">
        <v>41</v>
      </c>
      <c r="D30" s="2" t="s">
        <v>12</v>
      </c>
      <c r="E30" s="2" t="s">
        <v>42</v>
      </c>
      <c r="F30" s="2" t="s">
        <v>43</v>
      </c>
      <c r="G30" s="3">
        <v>43479</v>
      </c>
      <c r="H30" s="2" t="s">
        <v>44</v>
      </c>
      <c r="I30" s="2" t="str">
        <f>+VLOOKUP(B30,[1]MAYO!$B$9:$D$172,3,0)</f>
        <v>PREVENTA</v>
      </c>
      <c r="J30" s="2" t="s">
        <v>45</v>
      </c>
      <c r="K30" s="2" t="s">
        <v>18</v>
      </c>
    </row>
    <row r="31" spans="1:11" hidden="1" x14ac:dyDescent="0.3">
      <c r="A31" s="2" t="s">
        <v>9</v>
      </c>
      <c r="B31" s="2" t="s">
        <v>154</v>
      </c>
      <c r="C31" s="2" t="s">
        <v>155</v>
      </c>
      <c r="D31" s="2" t="s">
        <v>12</v>
      </c>
      <c r="E31" s="2" t="s">
        <v>42</v>
      </c>
      <c r="F31" s="2" t="s">
        <v>156</v>
      </c>
      <c r="G31" s="3">
        <v>44728</v>
      </c>
      <c r="H31" s="2" t="s">
        <v>44</v>
      </c>
      <c r="I31" s="2" t="str">
        <f>+VLOOKUP(B31,[1]MAYO!$B$9:$D$172,3,0)</f>
        <v>PREVENTA</v>
      </c>
      <c r="J31" s="2" t="s">
        <v>45</v>
      </c>
      <c r="K31" s="2" t="s">
        <v>18</v>
      </c>
    </row>
    <row r="32" spans="1:11" hidden="1" x14ac:dyDescent="0.3">
      <c r="A32" s="2" t="s">
        <v>9</v>
      </c>
      <c r="B32" s="2" t="s">
        <v>413</v>
      </c>
      <c r="C32" s="2" t="s">
        <v>414</v>
      </c>
      <c r="D32" s="2" t="s">
        <v>12</v>
      </c>
      <c r="E32" s="2" t="s">
        <v>42</v>
      </c>
      <c r="F32" s="2" t="s">
        <v>415</v>
      </c>
      <c r="G32" s="3">
        <v>45789</v>
      </c>
      <c r="H32" s="2" t="s">
        <v>44</v>
      </c>
      <c r="I32" s="2" t="str">
        <f>+VLOOKUP(B32,[1]MAYO!$B$9:$D$172,3,0)</f>
        <v>PREVENTA</v>
      </c>
      <c r="J32" s="2" t="s">
        <v>45</v>
      </c>
      <c r="K32" s="2" t="s">
        <v>18</v>
      </c>
    </row>
    <row r="33" spans="1:11" hidden="1" x14ac:dyDescent="0.3">
      <c r="A33" s="2" t="s">
        <v>9</v>
      </c>
      <c r="B33" s="2" t="s">
        <v>203</v>
      </c>
      <c r="C33" s="2" t="s">
        <v>204</v>
      </c>
      <c r="D33" s="2" t="s">
        <v>12</v>
      </c>
      <c r="E33" s="2" t="s">
        <v>42</v>
      </c>
      <c r="F33" s="2" t="s">
        <v>205</v>
      </c>
      <c r="G33" s="3">
        <v>45028</v>
      </c>
      <c r="H33" s="2" t="s">
        <v>44</v>
      </c>
      <c r="I33" s="2" t="str">
        <f>+VLOOKUP(B33,[1]MAYO!$B$9:$D$172,3,0)</f>
        <v>PREVENTA</v>
      </c>
      <c r="J33" s="2" t="s">
        <v>45</v>
      </c>
      <c r="K33" s="2" t="s">
        <v>50</v>
      </c>
    </row>
    <row r="34" spans="1:11" hidden="1" x14ac:dyDescent="0.3">
      <c r="A34" s="2" t="s">
        <v>9</v>
      </c>
      <c r="B34" s="2" t="s">
        <v>458</v>
      </c>
      <c r="C34" s="2" t="s">
        <v>459</v>
      </c>
      <c r="D34" s="2" t="s">
        <v>12</v>
      </c>
      <c r="E34" s="2" t="s">
        <v>42</v>
      </c>
      <c r="F34" s="2" t="s">
        <v>460</v>
      </c>
      <c r="G34" s="3">
        <v>45915</v>
      </c>
      <c r="H34" s="2" t="s">
        <v>44</v>
      </c>
      <c r="I34" s="2" t="str">
        <f>+VLOOKUP(B34,[1]MAYO!$B$9:$D$172,3,0)</f>
        <v>PREVENTA</v>
      </c>
      <c r="J34" s="2" t="s">
        <v>45</v>
      </c>
      <c r="K34" s="2" t="s">
        <v>50</v>
      </c>
    </row>
    <row r="35" spans="1:11" hidden="1" x14ac:dyDescent="0.3">
      <c r="A35" s="2" t="s">
        <v>9</v>
      </c>
      <c r="B35" s="2" t="s">
        <v>76</v>
      </c>
      <c r="C35" s="2" t="s">
        <v>25</v>
      </c>
      <c r="D35" s="2" t="s">
        <v>12</v>
      </c>
      <c r="E35" s="2" t="s">
        <v>42</v>
      </c>
      <c r="F35" s="2" t="s">
        <v>77</v>
      </c>
      <c r="G35" s="3">
        <v>44046</v>
      </c>
      <c r="H35" s="2" t="s">
        <v>78</v>
      </c>
      <c r="I35" s="2" t="str">
        <f>+VLOOKUP(B35,[1]MAYO!$B$9:$D$172,3,0)</f>
        <v>ARQUITECTO DE SERVICIOS</v>
      </c>
      <c r="J35" s="2" t="s">
        <v>28</v>
      </c>
      <c r="K35" s="2" t="s">
        <v>18</v>
      </c>
    </row>
    <row r="36" spans="1:11" hidden="1" x14ac:dyDescent="0.3">
      <c r="A36" s="2" t="s">
        <v>9</v>
      </c>
      <c r="B36" s="2" t="s">
        <v>51</v>
      </c>
      <c r="C36" s="2" t="s">
        <v>52</v>
      </c>
      <c r="D36" s="2" t="s">
        <v>12</v>
      </c>
      <c r="E36" s="2" t="s">
        <v>25</v>
      </c>
      <c r="F36" s="2" t="s">
        <v>53</v>
      </c>
      <c r="G36" s="3">
        <v>44090</v>
      </c>
      <c r="H36" s="2" t="s">
        <v>54</v>
      </c>
      <c r="I36" s="2" t="str">
        <f>+VLOOKUP(B36,[1]MAYO!$B$9:$D$172,3,0)</f>
        <v>PREVENTA JUNIOR</v>
      </c>
      <c r="J36" s="2" t="s">
        <v>28</v>
      </c>
      <c r="K36" s="2" t="s">
        <v>18</v>
      </c>
    </row>
    <row r="37" spans="1:11" hidden="1" x14ac:dyDescent="0.3">
      <c r="A37" s="2" t="s">
        <v>9</v>
      </c>
      <c r="B37" s="2" t="s">
        <v>23</v>
      </c>
      <c r="C37" s="2" t="s">
        <v>24</v>
      </c>
      <c r="D37" s="2" t="s">
        <v>12</v>
      </c>
      <c r="E37" s="2" t="s">
        <v>25</v>
      </c>
      <c r="F37" s="2" t="s">
        <v>26</v>
      </c>
      <c r="G37" s="3">
        <v>40909</v>
      </c>
      <c r="H37" s="2" t="s">
        <v>27</v>
      </c>
      <c r="I37" s="2" t="str">
        <f>+VLOOKUP(B37,[1]MAYO!$B$9:$D$172,3,0)</f>
        <v>PREVENTA SERVICIOS</v>
      </c>
      <c r="J37" s="2" t="s">
        <v>28</v>
      </c>
      <c r="K37" s="2" t="s">
        <v>18</v>
      </c>
    </row>
    <row r="38" spans="1:11" hidden="1" x14ac:dyDescent="0.3">
      <c r="A38" s="2" t="s">
        <v>9</v>
      </c>
      <c r="B38" s="2" t="s">
        <v>341</v>
      </c>
      <c r="C38" s="2" t="s">
        <v>261</v>
      </c>
      <c r="D38" s="2" t="s">
        <v>12</v>
      </c>
      <c r="E38" s="2" t="s">
        <v>13</v>
      </c>
      <c r="F38" s="2" t="s">
        <v>342</v>
      </c>
      <c r="G38" s="3">
        <v>45117</v>
      </c>
      <c r="H38" s="2" t="s">
        <v>343</v>
      </c>
      <c r="I38" s="2" t="str">
        <f>+VLOOKUP(B38,[1]MAYO!$B$9:$D$172,3,0)</f>
        <v>DIRECTOR FINANCIERO</v>
      </c>
      <c r="J38" s="2" t="s">
        <v>344</v>
      </c>
      <c r="K38" s="2" t="s">
        <v>18</v>
      </c>
    </row>
    <row r="39" spans="1:11" hidden="1" x14ac:dyDescent="0.3">
      <c r="A39" s="2" t="s">
        <v>9</v>
      </c>
      <c r="B39" s="2" t="s">
        <v>338</v>
      </c>
      <c r="C39" s="2" t="s">
        <v>339</v>
      </c>
      <c r="D39" s="2" t="s">
        <v>12</v>
      </c>
      <c r="E39" s="2" t="s">
        <v>261</v>
      </c>
      <c r="F39" s="2" t="s">
        <v>340</v>
      </c>
      <c r="G39" s="3">
        <v>45001</v>
      </c>
      <c r="H39" s="2" t="s">
        <v>238</v>
      </c>
      <c r="I39" s="2" t="str">
        <f>+VLOOKUP(B39,[1]MAYO!$B$9:$D$172,3,0)</f>
        <v>ANALISTA DE CONTROLLING</v>
      </c>
      <c r="J39" s="2" t="s">
        <v>263</v>
      </c>
      <c r="K39" s="2" t="s">
        <v>18</v>
      </c>
    </row>
    <row r="40" spans="1:11" hidden="1" x14ac:dyDescent="0.3">
      <c r="A40" s="2" t="s">
        <v>9</v>
      </c>
      <c r="B40" s="2" t="s">
        <v>259</v>
      </c>
      <c r="C40" s="2" t="s">
        <v>260</v>
      </c>
      <c r="D40" s="2" t="s">
        <v>12</v>
      </c>
      <c r="E40" s="2" t="s">
        <v>261</v>
      </c>
      <c r="F40" s="2" t="s">
        <v>262</v>
      </c>
      <c r="G40" s="3">
        <v>45811</v>
      </c>
      <c r="H40" s="2" t="s">
        <v>238</v>
      </c>
      <c r="I40" s="2" t="str">
        <f>+VLOOKUP(B40,[1]MAYO!$B$9:$D$172,3,0)</f>
        <v>ANALISTA DE RECAUDO</v>
      </c>
      <c r="J40" s="2" t="s">
        <v>263</v>
      </c>
      <c r="K40" s="2" t="s">
        <v>18</v>
      </c>
    </row>
    <row r="41" spans="1:11" hidden="1" x14ac:dyDescent="0.3">
      <c r="A41" s="2" t="s">
        <v>9</v>
      </c>
      <c r="B41" s="2" t="s">
        <v>330</v>
      </c>
      <c r="C41" s="2" t="s">
        <v>331</v>
      </c>
      <c r="D41" s="2" t="s">
        <v>12</v>
      </c>
      <c r="E41" s="2" t="s">
        <v>261</v>
      </c>
      <c r="F41" s="2" t="s">
        <v>332</v>
      </c>
      <c r="G41" s="3">
        <v>44699</v>
      </c>
      <c r="H41" s="2" t="s">
        <v>333</v>
      </c>
      <c r="I41" s="2" t="str">
        <f>+VLOOKUP(B41,[1]MAYO!$B$9:$D$172,3,0)</f>
        <v>CONTROLLER</v>
      </c>
      <c r="J41" s="2" t="s">
        <v>263</v>
      </c>
      <c r="K41" s="2" t="s">
        <v>18</v>
      </c>
    </row>
    <row r="42" spans="1:11" hidden="1" x14ac:dyDescent="0.3">
      <c r="A42" s="2" t="s">
        <v>9</v>
      </c>
      <c r="B42" s="2" t="s">
        <v>546</v>
      </c>
      <c r="C42" s="2" t="s">
        <v>547</v>
      </c>
      <c r="D42" s="2" t="s">
        <v>12</v>
      </c>
      <c r="E42" s="2" t="s">
        <v>261</v>
      </c>
      <c r="F42" s="2" t="s">
        <v>548</v>
      </c>
      <c r="G42" s="3">
        <v>46119</v>
      </c>
      <c r="H42" s="2" t="s">
        <v>238</v>
      </c>
      <c r="I42" s="2" t="str">
        <f>+VLOOKUP(B42,[1]MAYO!$B$9:$D$172,3,0)</f>
        <v>ANALISTA DE RECAUDO</v>
      </c>
      <c r="J42" s="2" t="s">
        <v>329</v>
      </c>
      <c r="K42" s="2" t="s">
        <v>18</v>
      </c>
    </row>
    <row r="43" spans="1:11" hidden="1" x14ac:dyDescent="0.3">
      <c r="A43" s="2" t="s">
        <v>9</v>
      </c>
      <c r="B43" s="2" t="s">
        <v>326</v>
      </c>
      <c r="C43" s="2" t="s">
        <v>327</v>
      </c>
      <c r="D43" s="2" t="s">
        <v>12</v>
      </c>
      <c r="E43" s="2" t="s">
        <v>261</v>
      </c>
      <c r="F43" s="2" t="s">
        <v>328</v>
      </c>
      <c r="G43" s="3">
        <v>44642</v>
      </c>
      <c r="H43" s="2" t="s">
        <v>238</v>
      </c>
      <c r="I43" s="2" t="str">
        <f>+VLOOKUP(B43,[1]MAYO!$B$9:$D$172,3,0)</f>
        <v>ESPECIALISTA COMERCIO EXTERIOR</v>
      </c>
      <c r="J43" s="2" t="s">
        <v>329</v>
      </c>
      <c r="K43" s="2" t="s">
        <v>18</v>
      </c>
    </row>
    <row r="44" spans="1:11" hidden="1" x14ac:dyDescent="0.3">
      <c r="A44" s="2" t="s">
        <v>9</v>
      </c>
      <c r="B44" s="2" t="s">
        <v>334</v>
      </c>
      <c r="C44" s="2" t="s">
        <v>335</v>
      </c>
      <c r="D44" s="2" t="s">
        <v>12</v>
      </c>
      <c r="E44" s="2" t="s">
        <v>261</v>
      </c>
      <c r="F44" s="2" t="s">
        <v>336</v>
      </c>
      <c r="G44" s="3">
        <v>44713</v>
      </c>
      <c r="H44" s="2" t="s">
        <v>337</v>
      </c>
      <c r="I44" s="2" t="str">
        <f>+VLOOKUP(B44,[1]MAYO!$B$9:$D$172,3,0)</f>
        <v>LIDER DE GESTION DE CADENA DE SUMUNISTRO</v>
      </c>
      <c r="J44" s="2" t="s">
        <v>329</v>
      </c>
      <c r="K44" s="2" t="s">
        <v>18</v>
      </c>
    </row>
    <row r="45" spans="1:11" hidden="1" x14ac:dyDescent="0.3">
      <c r="A45" s="2" t="s">
        <v>9</v>
      </c>
      <c r="B45" s="2" t="s">
        <v>367</v>
      </c>
      <c r="C45" s="2" t="s">
        <v>61</v>
      </c>
      <c r="D45" s="2" t="s">
        <v>12</v>
      </c>
      <c r="E45" s="2" t="s">
        <v>39</v>
      </c>
      <c r="F45" s="2" t="s">
        <v>368</v>
      </c>
      <c r="G45" s="3">
        <v>45524</v>
      </c>
      <c r="H45" s="2" t="s">
        <v>291</v>
      </c>
      <c r="I45" s="2" t="str">
        <f>+VLOOKUP(B45,[1]MAYO!$B$9:$D$172,3,0)</f>
        <v>GERENTE DE PROYECTOS Y SERVICIOS</v>
      </c>
      <c r="J45" s="2" t="s">
        <v>111</v>
      </c>
      <c r="K45" s="2" t="s">
        <v>50</v>
      </c>
    </row>
    <row r="46" spans="1:11" hidden="1" x14ac:dyDescent="0.3">
      <c r="A46" s="2" t="s">
        <v>9</v>
      </c>
      <c r="B46" s="2" t="s">
        <v>175</v>
      </c>
      <c r="C46" s="2" t="s">
        <v>176</v>
      </c>
      <c r="D46" s="2" t="s">
        <v>12</v>
      </c>
      <c r="E46" s="2" t="s">
        <v>61</v>
      </c>
      <c r="F46" s="2" t="s">
        <v>177</v>
      </c>
      <c r="G46" s="3">
        <v>44852</v>
      </c>
      <c r="H46" s="2" t="s">
        <v>178</v>
      </c>
      <c r="I46" s="2" t="str">
        <f>+VLOOKUP(B46,[1]MAYO!$B$9:$D$172,3,0)</f>
        <v>PM JUNIOR</v>
      </c>
      <c r="J46" s="2" t="s">
        <v>111</v>
      </c>
      <c r="K46" s="2" t="s">
        <v>18</v>
      </c>
    </row>
    <row r="47" spans="1:11" hidden="1" x14ac:dyDescent="0.3">
      <c r="A47" s="2" t="s">
        <v>9</v>
      </c>
      <c r="B47" s="2" t="s">
        <v>519</v>
      </c>
      <c r="C47" s="2" t="s">
        <v>520</v>
      </c>
      <c r="D47" s="2" t="s">
        <v>12</v>
      </c>
      <c r="E47" s="2" t="s">
        <v>61</v>
      </c>
      <c r="F47" s="2" t="s">
        <v>521</v>
      </c>
      <c r="G47" s="3">
        <v>46037</v>
      </c>
      <c r="H47" s="2" t="s">
        <v>178</v>
      </c>
      <c r="I47" s="2" t="str">
        <f>+VLOOKUP(B47,[1]MAYO!$B$9:$D$172,3,0)</f>
        <v>PM JUNIOR</v>
      </c>
      <c r="J47" s="2" t="s">
        <v>111</v>
      </c>
      <c r="K47" s="2" t="s">
        <v>18</v>
      </c>
    </row>
    <row r="48" spans="1:11" hidden="1" x14ac:dyDescent="0.3">
      <c r="A48" s="2" t="s">
        <v>9</v>
      </c>
      <c r="B48" s="2" t="s">
        <v>420</v>
      </c>
      <c r="C48" s="2" t="s">
        <v>421</v>
      </c>
      <c r="D48" s="2" t="s">
        <v>12</v>
      </c>
      <c r="E48" s="2" t="s">
        <v>61</v>
      </c>
      <c r="F48" s="2" t="s">
        <v>422</v>
      </c>
      <c r="G48" s="3">
        <v>45813</v>
      </c>
      <c r="H48" s="2" t="s">
        <v>178</v>
      </c>
      <c r="I48" s="2" t="str">
        <f>+VLOOKUP(B48,[1]MAYO!$B$9:$D$172,3,0)</f>
        <v>PM JUNIOR</v>
      </c>
      <c r="J48" s="2" t="s">
        <v>111</v>
      </c>
      <c r="K48" s="2" t="s">
        <v>50</v>
      </c>
    </row>
    <row r="49" spans="1:11" hidden="1" x14ac:dyDescent="0.3">
      <c r="A49" s="2" t="s">
        <v>9</v>
      </c>
      <c r="B49" s="2" t="s">
        <v>107</v>
      </c>
      <c r="C49" s="2" t="s">
        <v>108</v>
      </c>
      <c r="D49" s="2" t="s">
        <v>12</v>
      </c>
      <c r="E49" s="2" t="s">
        <v>61</v>
      </c>
      <c r="F49" s="2" t="s">
        <v>109</v>
      </c>
      <c r="G49" s="3">
        <v>44391</v>
      </c>
      <c r="H49" s="2" t="s">
        <v>110</v>
      </c>
      <c r="I49" s="2" t="str">
        <f>+VLOOKUP(B49,[1]MAYO!$B$9:$D$172,3,0)</f>
        <v>PM SENIOR</v>
      </c>
      <c r="J49" s="2" t="s">
        <v>111</v>
      </c>
      <c r="K49" s="2" t="s">
        <v>18</v>
      </c>
    </row>
    <row r="50" spans="1:11" hidden="1" x14ac:dyDescent="0.3">
      <c r="A50" s="2" t="s">
        <v>9</v>
      </c>
      <c r="B50" s="2" t="s">
        <v>151</v>
      </c>
      <c r="C50" s="2" t="s">
        <v>152</v>
      </c>
      <c r="D50" s="2" t="s">
        <v>12</v>
      </c>
      <c r="E50" s="2" t="s">
        <v>61</v>
      </c>
      <c r="F50" s="2" t="s">
        <v>153</v>
      </c>
      <c r="G50" s="3">
        <v>44719</v>
      </c>
      <c r="H50" s="2" t="s">
        <v>110</v>
      </c>
      <c r="I50" s="2" t="str">
        <f>+VLOOKUP(B50,[1]MAYO!$B$9:$D$172,3,0)</f>
        <v>PM SENIOR</v>
      </c>
      <c r="J50" s="2" t="s">
        <v>111</v>
      </c>
      <c r="K50" s="2" t="s">
        <v>18</v>
      </c>
    </row>
    <row r="51" spans="1:11" hidden="1" x14ac:dyDescent="0.3">
      <c r="A51" s="2" t="s">
        <v>9</v>
      </c>
      <c r="B51" s="2" t="s">
        <v>491</v>
      </c>
      <c r="C51" s="2" t="s">
        <v>492</v>
      </c>
      <c r="D51" s="2" t="s">
        <v>12</v>
      </c>
      <c r="E51" s="2" t="s">
        <v>39</v>
      </c>
      <c r="F51" s="2" t="s">
        <v>493</v>
      </c>
      <c r="G51" s="3">
        <v>45972</v>
      </c>
      <c r="H51" s="2" t="s">
        <v>494</v>
      </c>
      <c r="I51" s="2" t="str">
        <f>+VLOOKUP(B51,[1]MAYO!$B$9:$D$172,3,0)</f>
        <v>CONSULTOR TÉCNICO COMERCIAL ESTRATÉGICO</v>
      </c>
      <c r="J51" s="2" t="s">
        <v>58</v>
      </c>
      <c r="K51" s="2" t="s">
        <v>18</v>
      </c>
    </row>
    <row r="52" spans="1:11" hidden="1" x14ac:dyDescent="0.3">
      <c r="A52" s="2" t="s">
        <v>9</v>
      </c>
      <c r="B52" s="2" t="s">
        <v>55</v>
      </c>
      <c r="C52" s="2" t="s">
        <v>39</v>
      </c>
      <c r="D52" s="2" t="s">
        <v>12</v>
      </c>
      <c r="E52" s="2" t="s">
        <v>13</v>
      </c>
      <c r="F52" s="2" t="s">
        <v>56</v>
      </c>
      <c r="G52" s="3">
        <v>43808</v>
      </c>
      <c r="H52" s="2" t="s">
        <v>57</v>
      </c>
      <c r="I52" s="2" t="str">
        <f>+VLOOKUP(B52,[1]MAYO!$B$9:$D$172,3,0)</f>
        <v>DIRECTOR DE OPERACIONES</v>
      </c>
      <c r="J52" s="2" t="s">
        <v>58</v>
      </c>
      <c r="K52" s="2" t="s">
        <v>18</v>
      </c>
    </row>
    <row r="53" spans="1:11" hidden="1" x14ac:dyDescent="0.3">
      <c r="A53" s="2" t="s">
        <v>9</v>
      </c>
      <c r="B53" s="2" t="s">
        <v>289</v>
      </c>
      <c r="C53" s="2" t="s">
        <v>35</v>
      </c>
      <c r="D53" s="2" t="s">
        <v>12</v>
      </c>
      <c r="E53" s="2" t="s">
        <v>39</v>
      </c>
      <c r="F53" s="2" t="s">
        <v>290</v>
      </c>
      <c r="G53" s="3">
        <v>45397</v>
      </c>
      <c r="H53" s="2" t="s">
        <v>291</v>
      </c>
      <c r="I53" s="2" t="str">
        <f>+VLOOKUP(B53,[1]MAYO!$B$9:$D$172,3,0)</f>
        <v>GERENTE DE INGENIERIA</v>
      </c>
      <c r="J53" s="2" t="s">
        <v>58</v>
      </c>
      <c r="K53" s="2" t="s">
        <v>50</v>
      </c>
    </row>
    <row r="54" spans="1:11" hidden="1" x14ac:dyDescent="0.3">
      <c r="A54" s="2" t="s">
        <v>9</v>
      </c>
      <c r="B54" s="2" t="s">
        <v>97</v>
      </c>
      <c r="C54" s="2" t="s">
        <v>98</v>
      </c>
      <c r="D54" s="2" t="s">
        <v>12</v>
      </c>
      <c r="E54" s="2" t="s">
        <v>61</v>
      </c>
      <c r="F54" s="2" t="s">
        <v>99</v>
      </c>
      <c r="G54" s="3">
        <v>44340</v>
      </c>
      <c r="H54" s="2" t="s">
        <v>100</v>
      </c>
      <c r="I54" s="2" t="str">
        <f>+VLOOKUP(B54,[1]MAYO!$B$9:$D$172,3,0)</f>
        <v>RESPONSABLE DE PRACTICA CX</v>
      </c>
      <c r="J54" s="2" t="s">
        <v>101</v>
      </c>
      <c r="K54" s="2" t="s">
        <v>18</v>
      </c>
    </row>
    <row r="55" spans="1:11" hidden="1" x14ac:dyDescent="0.3">
      <c r="A55" s="2" t="s">
        <v>9</v>
      </c>
      <c r="B55" s="2" t="s">
        <v>194</v>
      </c>
      <c r="C55" s="2" t="s">
        <v>195</v>
      </c>
      <c r="D55" s="2" t="s">
        <v>12</v>
      </c>
      <c r="E55" s="2" t="s">
        <v>42</v>
      </c>
      <c r="F55" s="2" t="s">
        <v>196</v>
      </c>
      <c r="G55" s="3">
        <v>44928</v>
      </c>
      <c r="H55" s="2" t="s">
        <v>75</v>
      </c>
      <c r="I55" s="2" t="str">
        <f>+VLOOKUP(B55,[1]MAYO!$B$9:$D$172,3,0)</f>
        <v>ARQUITECTO DE PREVENTA</v>
      </c>
      <c r="J55" s="2" t="s">
        <v>38</v>
      </c>
      <c r="K55" s="2" t="s">
        <v>50</v>
      </c>
    </row>
    <row r="56" spans="1:11" hidden="1" x14ac:dyDescent="0.3">
      <c r="A56" s="2" t="s">
        <v>9</v>
      </c>
      <c r="B56" s="2" t="s">
        <v>112</v>
      </c>
      <c r="C56" s="2" t="s">
        <v>113</v>
      </c>
      <c r="D56" s="2" t="s">
        <v>12</v>
      </c>
      <c r="E56" s="2" t="s">
        <v>35</v>
      </c>
      <c r="F56" s="2" t="s">
        <v>114</v>
      </c>
      <c r="G56" s="3">
        <v>44418</v>
      </c>
      <c r="H56" s="2" t="s">
        <v>115</v>
      </c>
      <c r="I56" s="2" t="str">
        <f>+VLOOKUP(B56,[1]MAYO!$B$9:$D$172,3,0)</f>
        <v>ARQUITECTO DELIVERY</v>
      </c>
      <c r="J56" s="2" t="s">
        <v>38</v>
      </c>
      <c r="K56" s="2" t="s">
        <v>18</v>
      </c>
    </row>
    <row r="57" spans="1:11" hidden="1" x14ac:dyDescent="0.3">
      <c r="A57" s="2" t="s">
        <v>9</v>
      </c>
      <c r="B57" s="2" t="s">
        <v>464</v>
      </c>
      <c r="C57" s="2" t="s">
        <v>465</v>
      </c>
      <c r="D57" s="2" t="s">
        <v>12</v>
      </c>
      <c r="E57" s="2" t="s">
        <v>35</v>
      </c>
      <c r="F57" s="2" t="s">
        <v>466</v>
      </c>
      <c r="G57" s="3">
        <v>45936</v>
      </c>
      <c r="H57" s="2" t="s">
        <v>115</v>
      </c>
      <c r="I57" s="2" t="str">
        <f>+VLOOKUP(B57,[1]MAYO!$B$9:$D$172,3,0)</f>
        <v>ARQUITECTO DELIVERY</v>
      </c>
      <c r="J57" s="2" t="s">
        <v>38</v>
      </c>
      <c r="K57" s="2" t="s">
        <v>18</v>
      </c>
    </row>
    <row r="58" spans="1:11" hidden="1" x14ac:dyDescent="0.3">
      <c r="A58" s="2" t="s">
        <v>9</v>
      </c>
      <c r="B58" s="2" t="s">
        <v>479</v>
      </c>
      <c r="C58" s="2" t="s">
        <v>480</v>
      </c>
      <c r="D58" s="2" t="s">
        <v>12</v>
      </c>
      <c r="E58" s="2" t="s">
        <v>35</v>
      </c>
      <c r="F58" s="2" t="s">
        <v>481</v>
      </c>
      <c r="G58" s="3">
        <v>45972</v>
      </c>
      <c r="H58" s="2" t="s">
        <v>115</v>
      </c>
      <c r="I58" s="2" t="str">
        <f>+VLOOKUP(B58,[1]MAYO!$B$9:$D$172,3,0)</f>
        <v>ARQUITECTO DELIVERY</v>
      </c>
      <c r="J58" s="2" t="s">
        <v>38</v>
      </c>
      <c r="K58" s="2" t="s">
        <v>18</v>
      </c>
    </row>
    <row r="59" spans="1:11" hidden="1" x14ac:dyDescent="0.3">
      <c r="A59" s="2" t="s">
        <v>9</v>
      </c>
      <c r="B59" s="2" t="s">
        <v>495</v>
      </c>
      <c r="C59" s="2" t="s">
        <v>496</v>
      </c>
      <c r="D59" s="2" t="s">
        <v>12</v>
      </c>
      <c r="E59" s="2" t="s">
        <v>35</v>
      </c>
      <c r="F59" s="2" t="s">
        <v>497</v>
      </c>
      <c r="G59" s="3">
        <v>45992</v>
      </c>
      <c r="H59" s="2" t="s">
        <v>115</v>
      </c>
      <c r="I59" s="2" t="str">
        <f>+VLOOKUP(B59,[1]MAYO!$B$9:$D$172,3,0)</f>
        <v>ARQUITECTO DELIVERY</v>
      </c>
      <c r="J59" s="2" t="s">
        <v>38</v>
      </c>
      <c r="K59" s="2" t="s">
        <v>50</v>
      </c>
    </row>
    <row r="60" spans="1:11" hidden="1" x14ac:dyDescent="0.3">
      <c r="A60" s="2" t="s">
        <v>9</v>
      </c>
      <c r="B60" s="2" t="s">
        <v>509</v>
      </c>
      <c r="C60" s="2" t="s">
        <v>510</v>
      </c>
      <c r="D60" s="2" t="s">
        <v>12</v>
      </c>
      <c r="E60" s="2" t="s">
        <v>84</v>
      </c>
      <c r="F60" s="2" t="s">
        <v>511</v>
      </c>
      <c r="G60" s="3">
        <v>46041</v>
      </c>
      <c r="H60" s="2" t="s">
        <v>436</v>
      </c>
      <c r="I60" s="2" t="str">
        <f>+VLOOKUP(B60,[1]MAYO!$B$9:$D$172,3,0)</f>
        <v>BECARIO</v>
      </c>
      <c r="J60" s="2" t="s">
        <v>38</v>
      </c>
      <c r="K60" s="2" t="s">
        <v>490</v>
      </c>
    </row>
    <row r="61" spans="1:11" hidden="1" x14ac:dyDescent="0.3">
      <c r="A61" s="2" t="s">
        <v>9</v>
      </c>
      <c r="B61" s="2" t="s">
        <v>498</v>
      </c>
      <c r="C61" s="2" t="s">
        <v>499</v>
      </c>
      <c r="D61" s="2" t="s">
        <v>12</v>
      </c>
      <c r="E61" s="2" t="s">
        <v>84</v>
      </c>
      <c r="F61" s="2" t="s">
        <v>500</v>
      </c>
      <c r="G61" s="3">
        <v>45992</v>
      </c>
      <c r="H61" s="2" t="s">
        <v>436</v>
      </c>
      <c r="I61" s="2" t="str">
        <f>+VLOOKUP(B61,[1]MAYO!$B$9:$D$172,3,0)</f>
        <v>BECARIO</v>
      </c>
      <c r="J61" s="2" t="s">
        <v>38</v>
      </c>
      <c r="K61" s="2" t="s">
        <v>501</v>
      </c>
    </row>
    <row r="62" spans="1:11" hidden="1" x14ac:dyDescent="0.3">
      <c r="A62" s="2" t="s">
        <v>9</v>
      </c>
      <c r="B62" s="2" t="s">
        <v>211</v>
      </c>
      <c r="C62" s="2" t="s">
        <v>212</v>
      </c>
      <c r="D62" s="2" t="s">
        <v>12</v>
      </c>
      <c r="E62" s="2" t="s">
        <v>39</v>
      </c>
      <c r="F62" s="2" t="s">
        <v>213</v>
      </c>
      <c r="G62" s="3">
        <v>45078</v>
      </c>
      <c r="H62" s="2" t="s">
        <v>214</v>
      </c>
      <c r="I62" s="2" t="str">
        <f>+VLOOKUP(B62,[1]MAYO!$B$9:$D$172,3,0)</f>
        <v>COORDINADOR OPERATIVO</v>
      </c>
      <c r="J62" s="2" t="s">
        <v>38</v>
      </c>
      <c r="K62" s="2" t="s">
        <v>18</v>
      </c>
    </row>
    <row r="63" spans="1:11" hidden="1" x14ac:dyDescent="0.3">
      <c r="A63" s="2" t="s">
        <v>9</v>
      </c>
      <c r="B63" s="2" t="s">
        <v>142</v>
      </c>
      <c r="C63" s="2" t="s">
        <v>81</v>
      </c>
      <c r="D63" s="2" t="s">
        <v>12</v>
      </c>
      <c r="E63" s="2" t="s">
        <v>61</v>
      </c>
      <c r="F63" s="2" t="s">
        <v>143</v>
      </c>
      <c r="G63" s="3">
        <v>44621</v>
      </c>
      <c r="H63" s="2" t="s">
        <v>63</v>
      </c>
      <c r="I63" s="2" t="str">
        <f>+VLOOKUP(B63,[1]MAYO!$B$9:$D$172,3,0)</f>
        <v>COORDINADOR SDM</v>
      </c>
      <c r="J63" s="2" t="s">
        <v>38</v>
      </c>
      <c r="K63" s="2" t="s">
        <v>18</v>
      </c>
    </row>
    <row r="64" spans="1:11" hidden="1" x14ac:dyDescent="0.3">
      <c r="A64" s="2" t="s">
        <v>9</v>
      </c>
      <c r="B64" s="2" t="s">
        <v>302</v>
      </c>
      <c r="C64" s="2" t="s">
        <v>130</v>
      </c>
      <c r="D64" s="2" t="s">
        <v>12</v>
      </c>
      <c r="E64" s="2" t="s">
        <v>39</v>
      </c>
      <c r="F64" s="2" t="s">
        <v>303</v>
      </c>
      <c r="G64" s="3">
        <v>45432</v>
      </c>
      <c r="H64" s="2" t="s">
        <v>63</v>
      </c>
      <c r="I64" s="2" t="str">
        <f>+VLOOKUP(B64,[1]MAYO!$B$9:$D$172,3,0)</f>
        <v>COORDINADOR SDM</v>
      </c>
      <c r="J64" s="2" t="s">
        <v>38</v>
      </c>
      <c r="K64" s="2" t="s">
        <v>50</v>
      </c>
    </row>
    <row r="65" spans="1:11" hidden="1" x14ac:dyDescent="0.3">
      <c r="A65" s="2" t="s">
        <v>9</v>
      </c>
      <c r="B65" s="2" t="s">
        <v>83</v>
      </c>
      <c r="C65" s="2" t="s">
        <v>84</v>
      </c>
      <c r="D65" s="2" t="s">
        <v>12</v>
      </c>
      <c r="E65" s="2" t="s">
        <v>35</v>
      </c>
      <c r="F65" s="2" t="s">
        <v>85</v>
      </c>
      <c r="G65" s="3">
        <v>44123</v>
      </c>
      <c r="H65" s="2" t="s">
        <v>86</v>
      </c>
      <c r="I65" s="2" t="str">
        <f>+VLOOKUP(B65,[1]MAYO!$B$9:$D$172,3,0)</f>
        <v>COORDINADORA DE NOC – SOC</v>
      </c>
      <c r="J65" s="2" t="s">
        <v>38</v>
      </c>
      <c r="K65" s="2" t="s">
        <v>18</v>
      </c>
    </row>
    <row r="66" spans="1:11" hidden="1" x14ac:dyDescent="0.3">
      <c r="A66" s="2" t="s">
        <v>9</v>
      </c>
      <c r="B66" s="2" t="s">
        <v>488</v>
      </c>
      <c r="C66" s="2" t="s">
        <v>365</v>
      </c>
      <c r="D66" s="2" t="s">
        <v>12</v>
      </c>
      <c r="E66" s="2" t="s">
        <v>81</v>
      </c>
      <c r="F66" s="2" t="s">
        <v>489</v>
      </c>
      <c r="G66" s="3">
        <v>45985</v>
      </c>
      <c r="H66" s="2" t="s">
        <v>63</v>
      </c>
      <c r="I66" s="2" t="str">
        <f>+VLOOKUP(B66,[1]MAYO!$B$9:$D$172,3,0)</f>
        <v>COORDINADORA SDM</v>
      </c>
      <c r="J66" s="2" t="s">
        <v>38</v>
      </c>
      <c r="K66" s="2" t="s">
        <v>490</v>
      </c>
    </row>
    <row r="67" spans="1:11" hidden="1" x14ac:dyDescent="0.3">
      <c r="A67" s="2" t="s">
        <v>9</v>
      </c>
      <c r="B67" s="2" t="s">
        <v>206</v>
      </c>
      <c r="C67" s="2" t="s">
        <v>181</v>
      </c>
      <c r="D67" s="2" t="s">
        <v>12</v>
      </c>
      <c r="E67" s="2" t="s">
        <v>81</v>
      </c>
      <c r="F67" s="2" t="s">
        <v>207</v>
      </c>
      <c r="G67" s="3">
        <v>45048</v>
      </c>
      <c r="H67" s="2" t="s">
        <v>63</v>
      </c>
      <c r="I67" s="2" t="str">
        <f>+VLOOKUP(B67,[1]MAYO!$B$9:$D$172,3,0)</f>
        <v>COORDINADORA SDM</v>
      </c>
      <c r="J67" s="2" t="s">
        <v>38</v>
      </c>
      <c r="K67" s="2" t="s">
        <v>18</v>
      </c>
    </row>
    <row r="68" spans="1:11" hidden="1" x14ac:dyDescent="0.3">
      <c r="A68" s="2" t="s">
        <v>9</v>
      </c>
      <c r="B68" s="2" t="s">
        <v>33</v>
      </c>
      <c r="C68" s="2" t="s">
        <v>34</v>
      </c>
      <c r="D68" s="2" t="s">
        <v>12</v>
      </c>
      <c r="E68" s="2" t="s">
        <v>35</v>
      </c>
      <c r="F68" s="2" t="s">
        <v>36</v>
      </c>
      <c r="G68" s="3">
        <v>42922</v>
      </c>
      <c r="H68" s="2" t="s">
        <v>37</v>
      </c>
      <c r="I68" s="2" t="str">
        <f>+VLOOKUP(B68,[1]MAYO!$B$9:$D$172,3,0)</f>
        <v>ESPECIALISTA DELIVERY</v>
      </c>
      <c r="J68" s="2" t="s">
        <v>38</v>
      </c>
      <c r="K68" s="2" t="s">
        <v>18</v>
      </c>
    </row>
    <row r="69" spans="1:11" hidden="1" x14ac:dyDescent="0.3">
      <c r="A69" s="2" t="s">
        <v>9</v>
      </c>
      <c r="B69" s="2" t="s">
        <v>64</v>
      </c>
      <c r="C69" s="2" t="s">
        <v>65</v>
      </c>
      <c r="D69" s="2" t="s">
        <v>12</v>
      </c>
      <c r="E69" s="2" t="s">
        <v>35</v>
      </c>
      <c r="F69" s="2" t="s">
        <v>66</v>
      </c>
      <c r="G69" s="3">
        <v>43899</v>
      </c>
      <c r="H69" s="2" t="s">
        <v>37</v>
      </c>
      <c r="I69" s="2" t="str">
        <f>+VLOOKUP(B69,[1]MAYO!$B$9:$D$172,3,0)</f>
        <v>ESPECIALISTA DELIVERY</v>
      </c>
      <c r="J69" s="2" t="s">
        <v>38</v>
      </c>
      <c r="K69" s="2" t="s">
        <v>18</v>
      </c>
    </row>
    <row r="70" spans="1:11" hidden="1" x14ac:dyDescent="0.3">
      <c r="A70" s="2" t="s">
        <v>9</v>
      </c>
      <c r="B70" s="2" t="s">
        <v>132</v>
      </c>
      <c r="C70" s="2" t="s">
        <v>133</v>
      </c>
      <c r="D70" s="2" t="s">
        <v>12</v>
      </c>
      <c r="E70" s="2" t="s">
        <v>35</v>
      </c>
      <c r="F70" s="2" t="s">
        <v>134</v>
      </c>
      <c r="G70" s="3">
        <v>44574</v>
      </c>
      <c r="H70" s="2" t="s">
        <v>37</v>
      </c>
      <c r="I70" s="2" t="str">
        <f>+VLOOKUP(B70,[1]MAYO!$B$9:$D$172,3,0)</f>
        <v>ESPECIALISTA DELIVERY</v>
      </c>
      <c r="J70" s="2" t="s">
        <v>38</v>
      </c>
      <c r="K70" s="2" t="s">
        <v>18</v>
      </c>
    </row>
    <row r="71" spans="1:11" hidden="1" x14ac:dyDescent="0.3">
      <c r="A71" s="2" t="s">
        <v>9</v>
      </c>
      <c r="B71" s="2" t="s">
        <v>172</v>
      </c>
      <c r="C71" s="2" t="s">
        <v>173</v>
      </c>
      <c r="D71" s="2" t="s">
        <v>12</v>
      </c>
      <c r="E71" s="2" t="s">
        <v>35</v>
      </c>
      <c r="F71" s="2" t="s">
        <v>174</v>
      </c>
      <c r="G71" s="3">
        <v>44816</v>
      </c>
      <c r="H71" s="2" t="s">
        <v>37</v>
      </c>
      <c r="I71" s="2" t="str">
        <f>+VLOOKUP(B71,[1]MAYO!$B$9:$D$172,3,0)</f>
        <v>ESPECIALISTA DELIVERY</v>
      </c>
      <c r="J71" s="2" t="s">
        <v>38</v>
      </c>
      <c r="K71" s="2" t="s">
        <v>18</v>
      </c>
    </row>
    <row r="72" spans="1:11" hidden="1" x14ac:dyDescent="0.3">
      <c r="A72" s="2" t="s">
        <v>9</v>
      </c>
      <c r="B72" s="2" t="s">
        <v>283</v>
      </c>
      <c r="C72" s="2" t="s">
        <v>284</v>
      </c>
      <c r="D72" s="2" t="s">
        <v>12</v>
      </c>
      <c r="E72" s="2" t="s">
        <v>35</v>
      </c>
      <c r="F72" s="2" t="s">
        <v>285</v>
      </c>
      <c r="G72" s="3">
        <v>45383</v>
      </c>
      <c r="H72" s="2" t="s">
        <v>37</v>
      </c>
      <c r="I72" s="2" t="str">
        <f>+VLOOKUP(B72,[1]MAYO!$B$9:$D$172,3,0)</f>
        <v>ESPECIALISTA DELIVERY</v>
      </c>
      <c r="J72" s="2" t="s">
        <v>38</v>
      </c>
      <c r="K72" s="2" t="s">
        <v>18</v>
      </c>
    </row>
    <row r="73" spans="1:11" hidden="1" x14ac:dyDescent="0.3">
      <c r="A73" s="2" t="s">
        <v>9</v>
      </c>
      <c r="B73" s="2" t="s">
        <v>392</v>
      </c>
      <c r="C73" s="2" t="s">
        <v>393</v>
      </c>
      <c r="D73" s="2" t="s">
        <v>12</v>
      </c>
      <c r="E73" s="2" t="s">
        <v>35</v>
      </c>
      <c r="F73" s="2" t="s">
        <v>394</v>
      </c>
      <c r="G73" s="3">
        <v>45733</v>
      </c>
      <c r="H73" s="2" t="s">
        <v>37</v>
      </c>
      <c r="I73" s="2" t="str">
        <f>+VLOOKUP(B73,[1]MAYO!$B$9:$D$172,3,0)</f>
        <v>ESPECIALISTA DELIVERY</v>
      </c>
      <c r="J73" s="2" t="s">
        <v>38</v>
      </c>
      <c r="K73" s="2" t="s">
        <v>18</v>
      </c>
    </row>
    <row r="74" spans="1:11" hidden="1" x14ac:dyDescent="0.3">
      <c r="A74" s="2" t="s">
        <v>9</v>
      </c>
      <c r="B74" s="2" t="s">
        <v>395</v>
      </c>
      <c r="C74" s="2" t="s">
        <v>396</v>
      </c>
      <c r="D74" s="2" t="s">
        <v>12</v>
      </c>
      <c r="E74" s="2" t="s">
        <v>35</v>
      </c>
      <c r="F74" s="2" t="s">
        <v>397</v>
      </c>
      <c r="G74" s="3">
        <v>45733</v>
      </c>
      <c r="H74" s="2" t="s">
        <v>37</v>
      </c>
      <c r="I74" s="2" t="str">
        <f>+VLOOKUP(B74,[1]MAYO!$B$9:$D$172,3,0)</f>
        <v>ESPECIALISTA DELIVERY</v>
      </c>
      <c r="J74" s="2" t="s">
        <v>38</v>
      </c>
      <c r="K74" s="2" t="s">
        <v>18</v>
      </c>
    </row>
    <row r="75" spans="1:11" hidden="1" x14ac:dyDescent="0.3">
      <c r="A75" s="2" t="s">
        <v>9</v>
      </c>
      <c r="B75" s="2" t="s">
        <v>535</v>
      </c>
      <c r="C75" s="2" t="s">
        <v>536</v>
      </c>
      <c r="D75" s="2" t="s">
        <v>12</v>
      </c>
      <c r="E75" s="2" t="s">
        <v>35</v>
      </c>
      <c r="F75" s="2" t="s">
        <v>537</v>
      </c>
      <c r="G75" s="3">
        <v>46105</v>
      </c>
      <c r="H75" s="2" t="s">
        <v>37</v>
      </c>
      <c r="I75" s="2" t="str">
        <f>+VLOOKUP(B75,[1]MAYO!$B$9:$D$172,3,0)</f>
        <v>ESPECIALISTA DELIVERY</v>
      </c>
      <c r="J75" s="2" t="s">
        <v>38</v>
      </c>
      <c r="K75" s="2" t="s">
        <v>18</v>
      </c>
    </row>
    <row r="76" spans="1:11" hidden="1" x14ac:dyDescent="0.3">
      <c r="A76" s="2" t="s">
        <v>9</v>
      </c>
      <c r="B76" s="2" t="s">
        <v>561</v>
      </c>
      <c r="C76" s="2" t="s">
        <v>562</v>
      </c>
      <c r="D76" s="2" t="s">
        <v>12</v>
      </c>
      <c r="E76" s="2" t="s">
        <v>35</v>
      </c>
      <c r="F76" s="2" t="s">
        <v>563</v>
      </c>
      <c r="G76" s="3">
        <v>46149</v>
      </c>
      <c r="H76" s="2" t="s">
        <v>37</v>
      </c>
      <c r="I76" s="2" t="str">
        <f>+VLOOKUP(B76,[1]MAYO!$B$9:$D$172,3,0)</f>
        <v>ESPECIALISTA DELIVERY</v>
      </c>
      <c r="J76" s="2" t="s">
        <v>38</v>
      </c>
      <c r="K76" s="2" t="s">
        <v>18</v>
      </c>
    </row>
    <row r="77" spans="1:11" hidden="1" x14ac:dyDescent="0.3">
      <c r="A77" s="2" t="s">
        <v>9</v>
      </c>
      <c r="B77" s="2" t="s">
        <v>467</v>
      </c>
      <c r="C77" s="2" t="s">
        <v>468</v>
      </c>
      <c r="D77" s="2" t="s">
        <v>12</v>
      </c>
      <c r="E77" s="2" t="s">
        <v>35</v>
      </c>
      <c r="F77" s="2" t="s">
        <v>469</v>
      </c>
      <c r="G77" s="3">
        <v>45936</v>
      </c>
      <c r="H77" s="2" t="s">
        <v>37</v>
      </c>
      <c r="I77" s="2" t="str">
        <f>+VLOOKUP(B77,[1]MAYO!$B$9:$D$172,3,0)</f>
        <v>ESPECIALISTA DELIVERY</v>
      </c>
      <c r="J77" s="2" t="s">
        <v>38</v>
      </c>
      <c r="K77" s="2" t="s">
        <v>50</v>
      </c>
    </row>
    <row r="78" spans="1:11" hidden="1" x14ac:dyDescent="0.3">
      <c r="A78" s="2" t="s">
        <v>9</v>
      </c>
      <c r="B78" s="2" t="s">
        <v>186</v>
      </c>
      <c r="C78" s="2" t="s">
        <v>187</v>
      </c>
      <c r="D78" s="2" t="s">
        <v>12</v>
      </c>
      <c r="E78" s="2" t="s">
        <v>60</v>
      </c>
      <c r="F78" s="2" t="s">
        <v>188</v>
      </c>
      <c r="G78" s="3">
        <v>44875</v>
      </c>
      <c r="H78" s="2" t="s">
        <v>189</v>
      </c>
      <c r="I78" s="2" t="str">
        <f>+VLOOKUP(B78,[1]MAYO!$B$9:$D$172,3,0)</f>
        <v>ESPECIALISTA SOPORTE</v>
      </c>
      <c r="J78" s="2" t="s">
        <v>38</v>
      </c>
      <c r="K78" s="2" t="s">
        <v>18</v>
      </c>
    </row>
    <row r="79" spans="1:11" hidden="1" x14ac:dyDescent="0.3">
      <c r="A79" s="2" t="s">
        <v>9</v>
      </c>
      <c r="B79" s="2" t="s">
        <v>470</v>
      </c>
      <c r="C79" s="2" t="s">
        <v>471</v>
      </c>
      <c r="D79" s="2" t="s">
        <v>12</v>
      </c>
      <c r="E79" s="2" t="s">
        <v>181</v>
      </c>
      <c r="F79" s="2" t="s">
        <v>472</v>
      </c>
      <c r="G79" s="3">
        <v>45950</v>
      </c>
      <c r="H79" s="2" t="s">
        <v>189</v>
      </c>
      <c r="I79" s="2" t="str">
        <f>+VLOOKUP(B79,[1]MAYO!$B$9:$D$172,3,0)</f>
        <v>ESPECIALISTA SOPORTE</v>
      </c>
      <c r="J79" s="2" t="s">
        <v>38</v>
      </c>
      <c r="K79" s="2" t="s">
        <v>18</v>
      </c>
    </row>
    <row r="80" spans="1:11" hidden="1" x14ac:dyDescent="0.3">
      <c r="A80" s="2" t="s">
        <v>9</v>
      </c>
      <c r="B80" s="2" t="s">
        <v>253</v>
      </c>
      <c r="C80" s="2" t="s">
        <v>254</v>
      </c>
      <c r="D80" s="2" t="s">
        <v>12</v>
      </c>
      <c r="E80" s="2" t="s">
        <v>35</v>
      </c>
      <c r="F80" s="2" t="s">
        <v>255</v>
      </c>
      <c r="G80" s="3">
        <v>45348</v>
      </c>
      <c r="H80" s="2" t="s">
        <v>189</v>
      </c>
      <c r="I80" s="2" t="str">
        <f>+VLOOKUP(B80,[1]MAYO!$B$9:$D$172,3,0)</f>
        <v>ESPECIALISTA SOPORTE</v>
      </c>
      <c r="J80" s="2" t="s">
        <v>38</v>
      </c>
      <c r="K80" s="2" t="s">
        <v>50</v>
      </c>
    </row>
    <row r="81" spans="1:11" hidden="1" x14ac:dyDescent="0.3">
      <c r="A81" s="2" t="s">
        <v>9</v>
      </c>
      <c r="B81" s="2" t="s">
        <v>292</v>
      </c>
      <c r="C81" s="2" t="s">
        <v>293</v>
      </c>
      <c r="D81" s="2" t="s">
        <v>12</v>
      </c>
      <c r="E81" s="2" t="s">
        <v>130</v>
      </c>
      <c r="F81" s="2" t="s">
        <v>294</v>
      </c>
      <c r="G81" s="3">
        <v>45414</v>
      </c>
      <c r="H81" s="2" t="s">
        <v>189</v>
      </c>
      <c r="I81" s="2" t="str">
        <f>+VLOOKUP(B81,[1]MAYO!$B$9:$D$172,3,0)</f>
        <v>ESPECIALISTA SOPORTE</v>
      </c>
      <c r="J81" s="2" t="s">
        <v>38</v>
      </c>
      <c r="K81" s="2" t="s">
        <v>50</v>
      </c>
    </row>
    <row r="82" spans="1:11" hidden="1" x14ac:dyDescent="0.3">
      <c r="A82" s="2" t="s">
        <v>9</v>
      </c>
      <c r="B82" s="2" t="s">
        <v>379</v>
      </c>
      <c r="C82" s="2" t="s">
        <v>380</v>
      </c>
      <c r="D82" s="2" t="s">
        <v>12</v>
      </c>
      <c r="E82" s="2" t="s">
        <v>35</v>
      </c>
      <c r="F82" s="2" t="s">
        <v>381</v>
      </c>
      <c r="G82" s="3">
        <v>45614</v>
      </c>
      <c r="H82" s="2" t="s">
        <v>189</v>
      </c>
      <c r="I82" s="2" t="str">
        <f>+VLOOKUP(B82,[1]MAYO!$B$9:$D$172,3,0)</f>
        <v>ESPECIALISTA SOPORTE</v>
      </c>
      <c r="J82" s="2" t="s">
        <v>38</v>
      </c>
      <c r="K82" s="2" t="s">
        <v>50</v>
      </c>
    </row>
    <row r="83" spans="1:11" hidden="1" x14ac:dyDescent="0.3">
      <c r="A83" s="2" t="s">
        <v>9</v>
      </c>
      <c r="B83" s="2" t="s">
        <v>277</v>
      </c>
      <c r="C83" s="2" t="s">
        <v>278</v>
      </c>
      <c r="D83" s="2" t="s">
        <v>12</v>
      </c>
      <c r="E83" s="2" t="s">
        <v>61</v>
      </c>
      <c r="F83" s="2" t="s">
        <v>279</v>
      </c>
      <c r="G83" s="3">
        <v>45327</v>
      </c>
      <c r="H83" s="2" t="s">
        <v>110</v>
      </c>
      <c r="I83" s="2" t="str">
        <f>+VLOOKUP(B83,[1]MAYO!$B$9:$D$172,3,0)</f>
        <v>PM SENIOR</v>
      </c>
      <c r="J83" s="2" t="s">
        <v>38</v>
      </c>
      <c r="K83" s="2" t="s">
        <v>18</v>
      </c>
    </row>
    <row r="84" spans="1:11" hidden="1" x14ac:dyDescent="0.3">
      <c r="A84" s="2" t="s">
        <v>9</v>
      </c>
      <c r="B84" s="2" t="s">
        <v>59</v>
      </c>
      <c r="C84" s="2" t="s">
        <v>60</v>
      </c>
      <c r="D84" s="2" t="s">
        <v>12</v>
      </c>
      <c r="E84" s="2" t="s">
        <v>61</v>
      </c>
      <c r="F84" s="2" t="s">
        <v>62</v>
      </c>
      <c r="G84" s="3">
        <v>44088</v>
      </c>
      <c r="H84" s="2" t="s">
        <v>63</v>
      </c>
      <c r="I84" s="2" t="str">
        <f>+VLOOKUP(B84,[1]MAYO!$B$9:$D$172,3,0)</f>
        <v>SERVICE DELIVERY MANAGER</v>
      </c>
      <c r="J84" s="2" t="s">
        <v>38</v>
      </c>
      <c r="K84" s="2" t="s">
        <v>18</v>
      </c>
    </row>
    <row r="85" spans="1:11" hidden="1" x14ac:dyDescent="0.3">
      <c r="A85" s="2" t="s">
        <v>9</v>
      </c>
      <c r="B85" s="2" t="s">
        <v>218</v>
      </c>
      <c r="C85" s="2" t="s">
        <v>69</v>
      </c>
      <c r="D85" s="2" t="s">
        <v>12</v>
      </c>
      <c r="E85" s="2" t="s">
        <v>81</v>
      </c>
      <c r="F85" s="2" t="s">
        <v>219</v>
      </c>
      <c r="G85" s="3">
        <v>45111</v>
      </c>
      <c r="H85" s="2" t="s">
        <v>90</v>
      </c>
      <c r="I85" s="2" t="str">
        <f>+VLOOKUP(B85,[1]MAYO!$B$9:$D$172,3,0)</f>
        <v>SERVICE DELIVERY MANAGER</v>
      </c>
      <c r="J85" s="2" t="s">
        <v>38</v>
      </c>
      <c r="K85" s="2" t="s">
        <v>18</v>
      </c>
    </row>
    <row r="86" spans="1:11" hidden="1" x14ac:dyDescent="0.3">
      <c r="A86" s="2" t="s">
        <v>9</v>
      </c>
      <c r="B86" s="2" t="s">
        <v>87</v>
      </c>
      <c r="C86" s="2" t="s">
        <v>88</v>
      </c>
      <c r="D86" s="2" t="s">
        <v>12</v>
      </c>
      <c r="E86" s="2" t="s">
        <v>84</v>
      </c>
      <c r="F86" s="2" t="s">
        <v>89</v>
      </c>
      <c r="G86" s="3">
        <v>44657</v>
      </c>
      <c r="H86" s="2" t="s">
        <v>90</v>
      </c>
      <c r="I86" s="2" t="str">
        <f>+VLOOKUP(B86,[1]MAYO!$B$9:$D$172,3,0)</f>
        <v>SOPORTE JUNIOR</v>
      </c>
      <c r="J86" s="2" t="s">
        <v>38</v>
      </c>
      <c r="K86" s="2" t="s">
        <v>18</v>
      </c>
    </row>
    <row r="87" spans="1:11" hidden="1" x14ac:dyDescent="0.3">
      <c r="A87" s="2" t="s">
        <v>9</v>
      </c>
      <c r="B87" s="2" t="s">
        <v>91</v>
      </c>
      <c r="C87" s="2" t="s">
        <v>92</v>
      </c>
      <c r="D87" s="2" t="s">
        <v>12</v>
      </c>
      <c r="E87" s="2" t="s">
        <v>60</v>
      </c>
      <c r="F87" s="2" t="s">
        <v>93</v>
      </c>
      <c r="G87" s="3">
        <v>44270</v>
      </c>
      <c r="H87" s="2" t="s">
        <v>90</v>
      </c>
      <c r="I87" s="2" t="str">
        <f>+VLOOKUP(B87,[1]MAYO!$B$9:$D$172,3,0)</f>
        <v>SOPORTE JUNIOR</v>
      </c>
      <c r="J87" s="2" t="s">
        <v>38</v>
      </c>
      <c r="K87" s="2" t="s">
        <v>18</v>
      </c>
    </row>
    <row r="88" spans="1:11" hidden="1" x14ac:dyDescent="0.3">
      <c r="A88" s="2" t="s">
        <v>9</v>
      </c>
      <c r="B88" s="2" t="s">
        <v>94</v>
      </c>
      <c r="C88" s="2" t="s">
        <v>95</v>
      </c>
      <c r="D88" s="2" t="s">
        <v>12</v>
      </c>
      <c r="E88" s="2" t="s">
        <v>60</v>
      </c>
      <c r="F88" s="2" t="s">
        <v>96</v>
      </c>
      <c r="G88" s="3">
        <v>44312</v>
      </c>
      <c r="H88" s="2" t="s">
        <v>90</v>
      </c>
      <c r="I88" s="2" t="str">
        <f>+VLOOKUP(B88,[1]MAYO!$B$9:$D$172,3,0)</f>
        <v>SOPORTE JUNIOR</v>
      </c>
      <c r="J88" s="2" t="s">
        <v>38</v>
      </c>
      <c r="K88" s="2" t="s">
        <v>18</v>
      </c>
    </row>
    <row r="89" spans="1:11" hidden="1" x14ac:dyDescent="0.3">
      <c r="A89" s="2" t="s">
        <v>9</v>
      </c>
      <c r="B89" s="2" t="s">
        <v>116</v>
      </c>
      <c r="C89" s="2" t="s">
        <v>117</v>
      </c>
      <c r="D89" s="2" t="s">
        <v>12</v>
      </c>
      <c r="E89" s="2" t="s">
        <v>84</v>
      </c>
      <c r="F89" s="2" t="s">
        <v>118</v>
      </c>
      <c r="G89" s="3">
        <v>44421</v>
      </c>
      <c r="H89" s="2" t="s">
        <v>90</v>
      </c>
      <c r="I89" s="2" t="str">
        <f>+VLOOKUP(B89,[1]MAYO!$B$9:$D$172,3,0)</f>
        <v>SOPORTE JUNIOR</v>
      </c>
      <c r="J89" s="2" t="s">
        <v>38</v>
      </c>
      <c r="K89" s="2" t="s">
        <v>18</v>
      </c>
    </row>
    <row r="90" spans="1:11" hidden="1" x14ac:dyDescent="0.3">
      <c r="A90" s="2" t="s">
        <v>9</v>
      </c>
      <c r="B90" s="2" t="s">
        <v>119</v>
      </c>
      <c r="C90" s="2" t="s">
        <v>120</v>
      </c>
      <c r="D90" s="2" t="s">
        <v>12</v>
      </c>
      <c r="E90" s="2" t="s">
        <v>84</v>
      </c>
      <c r="F90" s="2" t="s">
        <v>121</v>
      </c>
      <c r="G90" s="3">
        <v>44470</v>
      </c>
      <c r="H90" s="2" t="s">
        <v>90</v>
      </c>
      <c r="I90" s="2" t="str">
        <f>+VLOOKUP(B90,[1]MAYO!$B$9:$D$172,3,0)</f>
        <v>SOPORTE JUNIOR</v>
      </c>
      <c r="J90" s="2" t="s">
        <v>38</v>
      </c>
      <c r="K90" s="2" t="s">
        <v>18</v>
      </c>
    </row>
    <row r="91" spans="1:11" hidden="1" x14ac:dyDescent="0.3">
      <c r="A91" s="2" t="s">
        <v>9</v>
      </c>
      <c r="B91" s="2" t="s">
        <v>139</v>
      </c>
      <c r="C91" s="2" t="s">
        <v>140</v>
      </c>
      <c r="D91" s="2" t="s">
        <v>12</v>
      </c>
      <c r="E91" s="2" t="s">
        <v>60</v>
      </c>
      <c r="F91" s="2" t="s">
        <v>141</v>
      </c>
      <c r="G91" s="3">
        <v>44593</v>
      </c>
      <c r="H91" s="2" t="s">
        <v>90</v>
      </c>
      <c r="I91" s="2" t="str">
        <f>+VLOOKUP(B91,[1]MAYO!$B$9:$D$172,3,0)</f>
        <v>SOPORTE JUNIOR</v>
      </c>
      <c r="J91" s="2" t="s">
        <v>38</v>
      </c>
      <c r="K91" s="2" t="s">
        <v>18</v>
      </c>
    </row>
    <row r="92" spans="1:11" hidden="1" x14ac:dyDescent="0.3">
      <c r="A92" s="2" t="s">
        <v>9</v>
      </c>
      <c r="B92" s="2" t="s">
        <v>148</v>
      </c>
      <c r="C92" s="2" t="s">
        <v>149</v>
      </c>
      <c r="D92" s="2" t="s">
        <v>12</v>
      </c>
      <c r="E92" s="2" t="s">
        <v>81</v>
      </c>
      <c r="F92" s="2" t="s">
        <v>150</v>
      </c>
      <c r="G92" s="3">
        <v>44713</v>
      </c>
      <c r="H92" s="2" t="s">
        <v>90</v>
      </c>
      <c r="I92" s="2" t="str">
        <f>+VLOOKUP(B92,[1]MAYO!$B$9:$D$172,3,0)</f>
        <v>SOPORTE JUNIOR</v>
      </c>
      <c r="J92" s="2" t="s">
        <v>38</v>
      </c>
      <c r="K92" s="2" t="s">
        <v>18</v>
      </c>
    </row>
    <row r="93" spans="1:11" hidden="1" x14ac:dyDescent="0.3">
      <c r="A93" s="2" t="s">
        <v>9</v>
      </c>
      <c r="B93" s="2" t="s">
        <v>160</v>
      </c>
      <c r="C93" s="2" t="s">
        <v>161</v>
      </c>
      <c r="D93" s="2" t="s">
        <v>12</v>
      </c>
      <c r="E93" s="2" t="s">
        <v>60</v>
      </c>
      <c r="F93" s="2" t="s">
        <v>162</v>
      </c>
      <c r="G93" s="3">
        <v>44747</v>
      </c>
      <c r="H93" s="2" t="s">
        <v>90</v>
      </c>
      <c r="I93" s="2" t="str">
        <f>+VLOOKUP(B93,[1]MAYO!$B$9:$D$172,3,0)</f>
        <v>SOPORTE JUNIOR</v>
      </c>
      <c r="J93" s="2" t="s">
        <v>38</v>
      </c>
      <c r="K93" s="2" t="s">
        <v>18</v>
      </c>
    </row>
    <row r="94" spans="1:11" hidden="1" x14ac:dyDescent="0.3">
      <c r="A94" s="2" t="s">
        <v>9</v>
      </c>
      <c r="B94" s="2" t="s">
        <v>166</v>
      </c>
      <c r="C94" s="2" t="s">
        <v>167</v>
      </c>
      <c r="D94" s="2" t="s">
        <v>12</v>
      </c>
      <c r="E94" s="2" t="s">
        <v>84</v>
      </c>
      <c r="F94" s="2" t="s">
        <v>168</v>
      </c>
      <c r="G94" s="3">
        <v>45273</v>
      </c>
      <c r="H94" s="2" t="s">
        <v>90</v>
      </c>
      <c r="I94" s="2" t="str">
        <f>+VLOOKUP(B94,[1]MAYO!$B$9:$D$172,3,0)</f>
        <v>SOPORTE JUNIOR</v>
      </c>
      <c r="J94" s="2" t="s">
        <v>38</v>
      </c>
      <c r="K94" s="2" t="s">
        <v>18</v>
      </c>
    </row>
    <row r="95" spans="1:11" hidden="1" x14ac:dyDescent="0.3">
      <c r="A95" s="2" t="s">
        <v>9</v>
      </c>
      <c r="B95" s="2" t="s">
        <v>197</v>
      </c>
      <c r="C95" s="2" t="s">
        <v>198</v>
      </c>
      <c r="D95" s="2" t="s">
        <v>12</v>
      </c>
      <c r="E95" s="2" t="s">
        <v>84</v>
      </c>
      <c r="F95" s="2" t="s">
        <v>199</v>
      </c>
      <c r="G95" s="3">
        <v>44979</v>
      </c>
      <c r="H95" s="2" t="s">
        <v>90</v>
      </c>
      <c r="I95" s="2" t="str">
        <f>+VLOOKUP(B95,[1]MAYO!$B$9:$D$172,3,0)</f>
        <v>SOPORTE JUNIOR</v>
      </c>
      <c r="J95" s="2" t="s">
        <v>38</v>
      </c>
      <c r="K95" s="2" t="s">
        <v>18</v>
      </c>
    </row>
    <row r="96" spans="1:11" hidden="1" x14ac:dyDescent="0.3">
      <c r="A96" s="2" t="s">
        <v>9</v>
      </c>
      <c r="B96" s="2" t="s">
        <v>215</v>
      </c>
      <c r="C96" s="2" t="s">
        <v>216</v>
      </c>
      <c r="D96" s="2" t="s">
        <v>12</v>
      </c>
      <c r="E96" s="2" t="s">
        <v>81</v>
      </c>
      <c r="F96" s="2" t="s">
        <v>217</v>
      </c>
      <c r="G96" s="3">
        <v>45099</v>
      </c>
      <c r="H96" s="2" t="s">
        <v>90</v>
      </c>
      <c r="I96" s="2" t="str">
        <f>+VLOOKUP(B96,[1]MAYO!$B$9:$D$172,3,0)</f>
        <v>SOPORTE JUNIOR</v>
      </c>
      <c r="J96" s="2" t="s">
        <v>38</v>
      </c>
      <c r="K96" s="2" t="s">
        <v>18</v>
      </c>
    </row>
    <row r="97" spans="1:11" hidden="1" x14ac:dyDescent="0.3">
      <c r="A97" s="2" t="s">
        <v>9</v>
      </c>
      <c r="B97" s="2" t="s">
        <v>240</v>
      </c>
      <c r="C97" s="2" t="s">
        <v>241</v>
      </c>
      <c r="D97" s="2" t="s">
        <v>12</v>
      </c>
      <c r="E97" s="2" t="s">
        <v>84</v>
      </c>
      <c r="F97" s="2" t="s">
        <v>242</v>
      </c>
      <c r="G97" s="3">
        <v>45273</v>
      </c>
      <c r="H97" s="2" t="s">
        <v>90</v>
      </c>
      <c r="I97" s="2" t="str">
        <f>+VLOOKUP(B97,[1]MAYO!$B$9:$D$172,3,0)</f>
        <v>SOPORTE JUNIOR</v>
      </c>
      <c r="J97" s="2" t="s">
        <v>38</v>
      </c>
      <c r="K97" s="2" t="s">
        <v>18</v>
      </c>
    </row>
    <row r="98" spans="1:11" hidden="1" x14ac:dyDescent="0.3">
      <c r="A98" s="2" t="s">
        <v>9</v>
      </c>
      <c r="B98" s="2" t="s">
        <v>407</v>
      </c>
      <c r="C98" s="2" t="s">
        <v>408</v>
      </c>
      <c r="D98" s="2" t="s">
        <v>12</v>
      </c>
      <c r="E98" s="2" t="s">
        <v>81</v>
      </c>
      <c r="F98" s="2" t="s">
        <v>409</v>
      </c>
      <c r="G98" s="3">
        <v>45756</v>
      </c>
      <c r="H98" s="2" t="s">
        <v>90</v>
      </c>
      <c r="I98" s="2" t="str">
        <f>+VLOOKUP(B98,[1]MAYO!$B$9:$D$172,3,0)</f>
        <v>SOPORTE JUNIOR</v>
      </c>
      <c r="J98" s="2" t="s">
        <v>38</v>
      </c>
      <c r="K98" s="2" t="s">
        <v>18</v>
      </c>
    </row>
    <row r="99" spans="1:11" hidden="1" x14ac:dyDescent="0.3">
      <c r="A99" s="2" t="s">
        <v>9</v>
      </c>
      <c r="B99" s="2" t="s">
        <v>426</v>
      </c>
      <c r="C99" s="2" t="s">
        <v>427</v>
      </c>
      <c r="D99" s="2" t="s">
        <v>12</v>
      </c>
      <c r="E99" s="2" t="s">
        <v>84</v>
      </c>
      <c r="F99" s="2" t="s">
        <v>428</v>
      </c>
      <c r="G99" s="3">
        <v>46105</v>
      </c>
      <c r="H99" s="2" t="s">
        <v>90</v>
      </c>
      <c r="I99" s="2" t="str">
        <f>+VLOOKUP(B99,[1]MAYO!$B$9:$D$172,3,0)</f>
        <v>SOPORTE JUNIOR</v>
      </c>
      <c r="J99" s="2" t="s">
        <v>38</v>
      </c>
      <c r="K99" s="2" t="s">
        <v>18</v>
      </c>
    </row>
    <row r="100" spans="1:11" hidden="1" x14ac:dyDescent="0.3">
      <c r="A100" s="2" t="s">
        <v>9</v>
      </c>
      <c r="B100" s="2" t="s">
        <v>438</v>
      </c>
      <c r="C100" s="2" t="s">
        <v>439</v>
      </c>
      <c r="D100" s="2" t="s">
        <v>12</v>
      </c>
      <c r="E100" s="2" t="s">
        <v>365</v>
      </c>
      <c r="F100" s="2" t="s">
        <v>440</v>
      </c>
      <c r="G100" s="3">
        <v>45842</v>
      </c>
      <c r="H100" s="2" t="s">
        <v>90</v>
      </c>
      <c r="I100" s="2" t="str">
        <f>+VLOOKUP(B100,[1]MAYO!$B$9:$D$172,3,0)</f>
        <v>SOPORTE JUNIOR</v>
      </c>
      <c r="J100" s="2" t="s">
        <v>38</v>
      </c>
      <c r="K100" s="2" t="s">
        <v>18</v>
      </c>
    </row>
    <row r="101" spans="1:11" hidden="1" x14ac:dyDescent="0.3">
      <c r="A101" s="2" t="s">
        <v>9</v>
      </c>
      <c r="B101" s="2" t="s">
        <v>441</v>
      </c>
      <c r="C101" s="2" t="s">
        <v>442</v>
      </c>
      <c r="D101" s="2" t="s">
        <v>12</v>
      </c>
      <c r="E101" s="2" t="s">
        <v>60</v>
      </c>
      <c r="F101" s="2" t="s">
        <v>443</v>
      </c>
      <c r="G101" s="3">
        <v>45873</v>
      </c>
      <c r="H101" s="2" t="s">
        <v>90</v>
      </c>
      <c r="I101" s="2" t="str">
        <f>+VLOOKUP(B101,[1]MAYO!$B$9:$D$172,3,0)</f>
        <v>SOPORTE JUNIOR</v>
      </c>
      <c r="J101" s="2" t="s">
        <v>38</v>
      </c>
      <c r="K101" s="2" t="s">
        <v>18</v>
      </c>
    </row>
    <row r="102" spans="1:11" hidden="1" x14ac:dyDescent="0.3">
      <c r="A102" s="2" t="s">
        <v>9</v>
      </c>
      <c r="B102" s="2" t="s">
        <v>444</v>
      </c>
      <c r="C102" s="2" t="s">
        <v>445</v>
      </c>
      <c r="D102" s="2" t="s">
        <v>12</v>
      </c>
      <c r="E102" s="2" t="s">
        <v>60</v>
      </c>
      <c r="F102" s="2" t="s">
        <v>446</v>
      </c>
      <c r="G102" s="3">
        <v>45873</v>
      </c>
      <c r="H102" s="2" t="s">
        <v>90</v>
      </c>
      <c r="I102" s="2" t="str">
        <f>+VLOOKUP(B102,[1]MAYO!$B$9:$D$172,3,0)</f>
        <v>SOPORTE JUNIOR</v>
      </c>
      <c r="J102" s="2" t="s">
        <v>38</v>
      </c>
      <c r="K102" s="2" t="s">
        <v>18</v>
      </c>
    </row>
    <row r="103" spans="1:11" hidden="1" x14ac:dyDescent="0.3">
      <c r="A103" s="2" t="s">
        <v>9</v>
      </c>
      <c r="B103" s="2" t="s">
        <v>482</v>
      </c>
      <c r="C103" s="2" t="s">
        <v>483</v>
      </c>
      <c r="D103" s="2" t="s">
        <v>12</v>
      </c>
      <c r="E103" s="2" t="s">
        <v>60</v>
      </c>
      <c r="F103" s="2" t="s">
        <v>484</v>
      </c>
      <c r="G103" s="3">
        <v>45985</v>
      </c>
      <c r="H103" s="2" t="s">
        <v>90</v>
      </c>
      <c r="I103" s="2" t="str">
        <f>+VLOOKUP(B103,[1]MAYO!$B$9:$D$172,3,0)</f>
        <v>SOPORTE JUNIOR</v>
      </c>
      <c r="J103" s="2" t="s">
        <v>38</v>
      </c>
      <c r="K103" s="2" t="s">
        <v>18</v>
      </c>
    </row>
    <row r="104" spans="1:11" hidden="1" x14ac:dyDescent="0.3">
      <c r="A104" s="2" t="s">
        <v>9</v>
      </c>
      <c r="B104" s="2" t="s">
        <v>532</v>
      </c>
      <c r="C104" s="2" t="s">
        <v>533</v>
      </c>
      <c r="D104" s="2" t="s">
        <v>12</v>
      </c>
      <c r="E104" s="2" t="s">
        <v>84</v>
      </c>
      <c r="F104" s="2" t="s">
        <v>534</v>
      </c>
      <c r="G104" s="3">
        <v>46105</v>
      </c>
      <c r="H104" s="2" t="s">
        <v>90</v>
      </c>
      <c r="I104" s="2" t="str">
        <f>+VLOOKUP(B104,[1]MAYO!$B$9:$D$172,3,0)</f>
        <v>SOPORTE JUNIOR</v>
      </c>
      <c r="J104" s="2" t="s">
        <v>38</v>
      </c>
      <c r="K104" s="2" t="s">
        <v>18</v>
      </c>
    </row>
    <row r="105" spans="1:11" hidden="1" x14ac:dyDescent="0.3">
      <c r="A105" s="2" t="s">
        <v>9</v>
      </c>
      <c r="B105" s="2" t="s">
        <v>538</v>
      </c>
      <c r="C105" s="2" t="s">
        <v>539</v>
      </c>
      <c r="D105" s="2" t="s">
        <v>12</v>
      </c>
      <c r="E105" s="2" t="s">
        <v>84</v>
      </c>
      <c r="F105" s="2" t="s">
        <v>540</v>
      </c>
      <c r="G105" s="3">
        <v>46107</v>
      </c>
      <c r="H105" s="2" t="s">
        <v>90</v>
      </c>
      <c r="I105" s="2" t="str">
        <f>+VLOOKUP(B105,[1]MAYO!$B$9:$D$172,3,0)</f>
        <v>SOPORTE JUNIOR</v>
      </c>
      <c r="J105" s="2" t="s">
        <v>38</v>
      </c>
      <c r="K105" s="2" t="s">
        <v>18</v>
      </c>
    </row>
    <row r="106" spans="1:11" hidden="1" x14ac:dyDescent="0.3">
      <c r="A106" s="2" t="s">
        <v>9</v>
      </c>
      <c r="B106" s="2" t="s">
        <v>541</v>
      </c>
      <c r="C106" s="2" t="s">
        <v>17</v>
      </c>
      <c r="D106" s="2" t="s">
        <v>12</v>
      </c>
      <c r="E106" s="2" t="s">
        <v>69</v>
      </c>
      <c r="F106" s="2" t="s">
        <v>542</v>
      </c>
      <c r="G106" s="3">
        <v>46107</v>
      </c>
      <c r="H106" s="2" t="s">
        <v>90</v>
      </c>
      <c r="I106" s="2" t="str">
        <f>+VLOOKUP(B106,[1]MAYO!$B$9:$D$172,3,0)</f>
        <v>SOPORTE JUNIOR</v>
      </c>
      <c r="J106" s="2" t="s">
        <v>38</v>
      </c>
      <c r="K106" s="2" t="s">
        <v>18</v>
      </c>
    </row>
    <row r="107" spans="1:11" hidden="1" x14ac:dyDescent="0.3">
      <c r="A107" s="2" t="s">
        <v>9</v>
      </c>
      <c r="B107" s="2" t="s">
        <v>549</v>
      </c>
      <c r="C107" s="2" t="s">
        <v>550</v>
      </c>
      <c r="D107" s="2" t="s">
        <v>12</v>
      </c>
      <c r="E107" s="2" t="s">
        <v>60</v>
      </c>
      <c r="F107" s="2" t="s">
        <v>551</v>
      </c>
      <c r="G107" s="3">
        <v>46129</v>
      </c>
      <c r="H107" s="2" t="s">
        <v>90</v>
      </c>
      <c r="I107" s="2" t="str">
        <f>+VLOOKUP(B107,[1]MAYO!$B$9:$D$172,3,0)</f>
        <v>SOPORTE JUNIOR</v>
      </c>
      <c r="J107" s="2" t="s">
        <v>38</v>
      </c>
      <c r="K107" s="2" t="s">
        <v>18</v>
      </c>
    </row>
    <row r="108" spans="1:11" hidden="1" x14ac:dyDescent="0.3">
      <c r="A108" s="2" t="s">
        <v>9</v>
      </c>
      <c r="B108" s="2" t="s">
        <v>243</v>
      </c>
      <c r="C108" s="2" t="s">
        <v>244</v>
      </c>
      <c r="D108" s="2" t="s">
        <v>12</v>
      </c>
      <c r="E108" s="2" t="s">
        <v>84</v>
      </c>
      <c r="F108" s="2" t="s">
        <v>245</v>
      </c>
      <c r="G108" s="3">
        <v>45293</v>
      </c>
      <c r="H108" s="2" t="s">
        <v>90</v>
      </c>
      <c r="I108" s="2" t="str">
        <f>+VLOOKUP(B108,[1]MAYO!$B$9:$D$172,3,0)</f>
        <v>SOPORTE JUNIOR</v>
      </c>
      <c r="J108" s="2" t="s">
        <v>38</v>
      </c>
      <c r="K108" s="2" t="s">
        <v>246</v>
      </c>
    </row>
    <row r="109" spans="1:11" hidden="1" x14ac:dyDescent="0.3">
      <c r="A109" s="2" t="s">
        <v>9</v>
      </c>
      <c r="B109" s="2" t="s">
        <v>522</v>
      </c>
      <c r="C109" s="2" t="s">
        <v>523</v>
      </c>
      <c r="D109" s="2" t="s">
        <v>12</v>
      </c>
      <c r="E109" s="2" t="s">
        <v>81</v>
      </c>
      <c r="F109" s="2" t="s">
        <v>524</v>
      </c>
      <c r="G109" s="3">
        <v>46063</v>
      </c>
      <c r="H109" s="2" t="s">
        <v>90</v>
      </c>
      <c r="I109" s="2" t="str">
        <f>+VLOOKUP(B109,[1]MAYO!$B$9:$D$172,3,0)</f>
        <v>SOPORTE JUNIOR</v>
      </c>
      <c r="J109" s="2" t="s">
        <v>38</v>
      </c>
      <c r="K109" s="2" t="s">
        <v>246</v>
      </c>
    </row>
    <row r="110" spans="1:11" hidden="1" x14ac:dyDescent="0.3">
      <c r="A110" s="2" t="s">
        <v>9</v>
      </c>
      <c r="B110" s="2" t="s">
        <v>382</v>
      </c>
      <c r="C110" s="2" t="s">
        <v>383</v>
      </c>
      <c r="D110" s="2" t="s">
        <v>12</v>
      </c>
      <c r="E110" s="2" t="s">
        <v>84</v>
      </c>
      <c r="F110" s="2" t="s">
        <v>384</v>
      </c>
      <c r="G110" s="3">
        <v>45617</v>
      </c>
      <c r="H110" s="2" t="s">
        <v>90</v>
      </c>
      <c r="I110" s="2" t="str">
        <f>+VLOOKUP(B110,[1]MAYO!$B$9:$D$172,3,0)</f>
        <v>SOPORTE JUNIOR</v>
      </c>
      <c r="J110" s="2" t="s">
        <v>38</v>
      </c>
      <c r="K110" s="2" t="s">
        <v>385</v>
      </c>
    </row>
    <row r="111" spans="1:11" hidden="1" x14ac:dyDescent="0.3">
      <c r="A111" s="2" t="s">
        <v>9</v>
      </c>
      <c r="B111" s="2" t="s">
        <v>208</v>
      </c>
      <c r="C111" s="2" t="s">
        <v>209</v>
      </c>
      <c r="D111" s="2" t="s">
        <v>12</v>
      </c>
      <c r="E111" s="2" t="s">
        <v>130</v>
      </c>
      <c r="F111" s="2" t="s">
        <v>210</v>
      </c>
      <c r="G111" s="3">
        <v>45071</v>
      </c>
      <c r="H111" s="2" t="s">
        <v>90</v>
      </c>
      <c r="I111" s="2" t="str">
        <f>+VLOOKUP(B111,[1]MAYO!$B$9:$D$172,3,0)</f>
        <v>SOPORTE JUNIOR</v>
      </c>
      <c r="J111" s="2" t="s">
        <v>38</v>
      </c>
      <c r="K111" s="2" t="s">
        <v>50</v>
      </c>
    </row>
    <row r="112" spans="1:11" hidden="1" x14ac:dyDescent="0.3">
      <c r="A112" s="2" t="s">
        <v>9</v>
      </c>
      <c r="B112" s="2" t="s">
        <v>369</v>
      </c>
      <c r="C112" s="2" t="s">
        <v>370</v>
      </c>
      <c r="D112" s="2" t="s">
        <v>12</v>
      </c>
      <c r="E112" s="2" t="s">
        <v>84</v>
      </c>
      <c r="F112" s="2" t="s">
        <v>371</v>
      </c>
      <c r="G112" s="3">
        <v>45505</v>
      </c>
      <c r="H112" s="2" t="s">
        <v>90</v>
      </c>
      <c r="I112" s="2" t="str">
        <f>+VLOOKUP(B112,[1]MAYO!$B$9:$D$172,3,0)</f>
        <v>SOPORTE JUNIOR</v>
      </c>
      <c r="J112" s="2" t="s">
        <v>38</v>
      </c>
      <c r="K112" s="2" t="s">
        <v>372</v>
      </c>
    </row>
    <row r="113" spans="1:11" hidden="1" x14ac:dyDescent="0.3">
      <c r="A113" s="2" t="s">
        <v>9</v>
      </c>
      <c r="B113" s="2" t="s">
        <v>67</v>
      </c>
      <c r="C113" s="2" t="s">
        <v>68</v>
      </c>
      <c r="D113" s="2" t="s">
        <v>12</v>
      </c>
      <c r="E113" s="2" t="s">
        <v>69</v>
      </c>
      <c r="F113" s="2" t="s">
        <v>70</v>
      </c>
      <c r="G113" s="3">
        <v>43899</v>
      </c>
      <c r="H113" s="2" t="s">
        <v>71</v>
      </c>
      <c r="I113" s="2" t="str">
        <f>+VLOOKUP(B113,[1]MAYO!$B$9:$D$172,3,0)</f>
        <v>SOPORTE SENIOR</v>
      </c>
      <c r="J113" s="2" t="s">
        <v>38</v>
      </c>
      <c r="K113" s="2" t="s">
        <v>18</v>
      </c>
    </row>
    <row r="114" spans="1:11" hidden="1" x14ac:dyDescent="0.3">
      <c r="A114" s="2" t="s">
        <v>9</v>
      </c>
      <c r="B114" s="2" t="s">
        <v>79</v>
      </c>
      <c r="C114" s="2" t="s">
        <v>80</v>
      </c>
      <c r="D114" s="2" t="s">
        <v>12</v>
      </c>
      <c r="E114" s="2" t="s">
        <v>81</v>
      </c>
      <c r="F114" s="2" t="s">
        <v>82</v>
      </c>
      <c r="G114" s="3">
        <v>44090</v>
      </c>
      <c r="H114" s="2" t="s">
        <v>71</v>
      </c>
      <c r="I114" s="2" t="str">
        <f>+VLOOKUP(B114,[1]MAYO!$B$9:$D$172,3,0)</f>
        <v>SOPORTE SENIOR</v>
      </c>
      <c r="J114" s="2" t="s">
        <v>38</v>
      </c>
      <c r="K114" s="2" t="s">
        <v>18</v>
      </c>
    </row>
    <row r="115" spans="1:11" hidden="1" x14ac:dyDescent="0.3">
      <c r="A115" s="2" t="s">
        <v>9</v>
      </c>
      <c r="B115" s="2" t="s">
        <v>122</v>
      </c>
      <c r="C115" s="2" t="s">
        <v>123</v>
      </c>
      <c r="D115" s="2" t="s">
        <v>12</v>
      </c>
      <c r="E115" s="2" t="s">
        <v>60</v>
      </c>
      <c r="F115" s="2" t="s">
        <v>124</v>
      </c>
      <c r="G115" s="3">
        <v>44494</v>
      </c>
      <c r="H115" s="2" t="s">
        <v>71</v>
      </c>
      <c r="I115" s="2" t="str">
        <f>+VLOOKUP(B115,[1]MAYO!$B$9:$D$172,3,0)</f>
        <v>SOPORTE SENIOR</v>
      </c>
      <c r="J115" s="2" t="s">
        <v>38</v>
      </c>
      <c r="K115" s="2" t="s">
        <v>18</v>
      </c>
    </row>
    <row r="116" spans="1:11" hidden="1" x14ac:dyDescent="0.3">
      <c r="A116" s="2" t="s">
        <v>9</v>
      </c>
      <c r="B116" s="2" t="s">
        <v>125</v>
      </c>
      <c r="C116" s="2" t="s">
        <v>126</v>
      </c>
      <c r="D116" s="2" t="s">
        <v>12</v>
      </c>
      <c r="E116" s="2" t="s">
        <v>81</v>
      </c>
      <c r="F116" s="2" t="s">
        <v>127</v>
      </c>
      <c r="G116" s="3">
        <v>44531</v>
      </c>
      <c r="H116" s="2" t="s">
        <v>71</v>
      </c>
      <c r="I116" s="2" t="str">
        <f>+VLOOKUP(B116,[1]MAYO!$B$9:$D$172,3,0)</f>
        <v>SOPORTE SENIOR</v>
      </c>
      <c r="J116" s="2" t="s">
        <v>38</v>
      </c>
      <c r="K116" s="2" t="s">
        <v>18</v>
      </c>
    </row>
    <row r="117" spans="1:11" hidden="1" x14ac:dyDescent="0.3">
      <c r="A117" s="2" t="s">
        <v>9</v>
      </c>
      <c r="B117" s="2" t="s">
        <v>157</v>
      </c>
      <c r="C117" s="2" t="s">
        <v>158</v>
      </c>
      <c r="D117" s="2" t="s">
        <v>12</v>
      </c>
      <c r="E117" s="2" t="s">
        <v>60</v>
      </c>
      <c r="F117" s="2" t="s">
        <v>159</v>
      </c>
      <c r="G117" s="3">
        <v>44748</v>
      </c>
      <c r="H117" s="2" t="s">
        <v>71</v>
      </c>
      <c r="I117" s="2" t="str">
        <f>+VLOOKUP(B117,[1]MAYO!$B$9:$D$172,3,0)</f>
        <v>SOPORTE SENIOR</v>
      </c>
      <c r="J117" s="2" t="s">
        <v>38</v>
      </c>
      <c r="K117" s="2" t="s">
        <v>18</v>
      </c>
    </row>
    <row r="118" spans="1:11" hidden="1" x14ac:dyDescent="0.3">
      <c r="A118" s="2" t="s">
        <v>9</v>
      </c>
      <c r="B118" s="2" t="s">
        <v>169</v>
      </c>
      <c r="C118" s="2" t="s">
        <v>170</v>
      </c>
      <c r="D118" s="2" t="s">
        <v>12</v>
      </c>
      <c r="E118" s="2" t="s">
        <v>81</v>
      </c>
      <c r="F118" s="2" t="s">
        <v>171</v>
      </c>
      <c r="G118" s="3">
        <v>44768</v>
      </c>
      <c r="H118" s="2" t="s">
        <v>71</v>
      </c>
      <c r="I118" s="2" t="str">
        <f>+VLOOKUP(B118,[1]MAYO!$B$9:$D$172,3,0)</f>
        <v>SOPORTE SENIOR</v>
      </c>
      <c r="J118" s="2" t="s">
        <v>38</v>
      </c>
      <c r="K118" s="2" t="s">
        <v>18</v>
      </c>
    </row>
    <row r="119" spans="1:11" hidden="1" x14ac:dyDescent="0.3">
      <c r="A119" s="2" t="s">
        <v>9</v>
      </c>
      <c r="B119" s="2" t="s">
        <v>179</v>
      </c>
      <c r="C119" s="2" t="s">
        <v>180</v>
      </c>
      <c r="D119" s="2" t="s">
        <v>12</v>
      </c>
      <c r="E119" s="2" t="s">
        <v>181</v>
      </c>
      <c r="F119" s="2" t="s">
        <v>182</v>
      </c>
      <c r="G119" s="3">
        <v>44873</v>
      </c>
      <c r="H119" s="2" t="s">
        <v>71</v>
      </c>
      <c r="I119" s="2" t="str">
        <f>+VLOOKUP(B119,[1]MAYO!$B$9:$D$172,3,0)</f>
        <v>SOPORTE SENIOR</v>
      </c>
      <c r="J119" s="2" t="s">
        <v>38</v>
      </c>
      <c r="K119" s="2" t="s">
        <v>18</v>
      </c>
    </row>
    <row r="120" spans="1:11" hidden="1" x14ac:dyDescent="0.3">
      <c r="A120" s="2" t="s">
        <v>9</v>
      </c>
      <c r="B120" s="2" t="s">
        <v>183</v>
      </c>
      <c r="C120" s="2" t="s">
        <v>184</v>
      </c>
      <c r="D120" s="2" t="s">
        <v>12</v>
      </c>
      <c r="E120" s="2" t="s">
        <v>84</v>
      </c>
      <c r="F120" s="2" t="s">
        <v>185</v>
      </c>
      <c r="G120" s="3">
        <v>44880</v>
      </c>
      <c r="H120" s="2" t="s">
        <v>71</v>
      </c>
      <c r="I120" s="2" t="str">
        <f>+VLOOKUP(B120,[1]MAYO!$B$9:$D$172,3,0)</f>
        <v>SOPORTE SENIOR</v>
      </c>
      <c r="J120" s="2" t="s">
        <v>38</v>
      </c>
      <c r="K120" s="2" t="s">
        <v>18</v>
      </c>
    </row>
    <row r="121" spans="1:11" x14ac:dyDescent="0.3">
      <c r="A121" s="2" t="s">
        <v>9</v>
      </c>
      <c r="B121" s="2" t="s">
        <v>200</v>
      </c>
      <c r="C121" s="2" t="s">
        <v>201</v>
      </c>
      <c r="D121" s="2" t="s">
        <v>12</v>
      </c>
      <c r="E121" s="2" t="s">
        <v>35</v>
      </c>
      <c r="F121" s="2" t="s">
        <v>202</v>
      </c>
      <c r="G121" s="3">
        <v>45007</v>
      </c>
      <c r="H121" s="2" t="s">
        <v>71</v>
      </c>
      <c r="I121" s="2" t="str">
        <f>+VLOOKUP(B121,[1]MAYO!$B$9:$D$172,3,0)</f>
        <v>SOPORTE SENIOR</v>
      </c>
      <c r="J121" s="2" t="s">
        <v>38</v>
      </c>
      <c r="K121" s="2" t="s">
        <v>18</v>
      </c>
    </row>
    <row r="122" spans="1:11" hidden="1" x14ac:dyDescent="0.3">
      <c r="A122" s="2" t="s">
        <v>9</v>
      </c>
      <c r="B122" s="2" t="s">
        <v>232</v>
      </c>
      <c r="C122" s="2" t="s">
        <v>233</v>
      </c>
      <c r="D122" s="2" t="s">
        <v>12</v>
      </c>
      <c r="E122" s="2" t="s">
        <v>84</v>
      </c>
      <c r="F122" s="2" t="s">
        <v>234</v>
      </c>
      <c r="G122" s="3">
        <v>45278</v>
      </c>
      <c r="H122" s="2" t="s">
        <v>71</v>
      </c>
      <c r="I122" s="2" t="str">
        <f>+VLOOKUP(B122,[1]MAYO!$B$9:$D$172,3,0)</f>
        <v>SOPORTE SENIOR</v>
      </c>
      <c r="J122" s="2" t="s">
        <v>38</v>
      </c>
      <c r="K122" s="2" t="s">
        <v>18</v>
      </c>
    </row>
    <row r="123" spans="1:11" hidden="1" x14ac:dyDescent="0.3">
      <c r="A123" s="2" t="s">
        <v>9</v>
      </c>
      <c r="B123" s="2" t="s">
        <v>256</v>
      </c>
      <c r="C123" s="2" t="s">
        <v>257</v>
      </c>
      <c r="D123" s="2" t="s">
        <v>12</v>
      </c>
      <c r="E123" s="2" t="s">
        <v>60</v>
      </c>
      <c r="F123" s="2" t="s">
        <v>258</v>
      </c>
      <c r="G123" s="3">
        <v>45348</v>
      </c>
      <c r="H123" s="2" t="s">
        <v>71</v>
      </c>
      <c r="I123" s="2" t="str">
        <f>+VLOOKUP(B123,[1]MAYO!$B$9:$D$172,3,0)</f>
        <v>SOPORTE SENIOR</v>
      </c>
      <c r="J123" s="2" t="s">
        <v>38</v>
      </c>
      <c r="K123" s="2" t="s">
        <v>18</v>
      </c>
    </row>
    <row r="124" spans="1:11" hidden="1" x14ac:dyDescent="0.3">
      <c r="A124" s="2" t="s">
        <v>9</v>
      </c>
      <c r="B124" s="2" t="s">
        <v>267</v>
      </c>
      <c r="C124" s="2" t="s">
        <v>268</v>
      </c>
      <c r="D124" s="2" t="s">
        <v>12</v>
      </c>
      <c r="E124" s="2" t="s">
        <v>60</v>
      </c>
      <c r="F124" s="2" t="s">
        <v>269</v>
      </c>
      <c r="G124" s="3">
        <v>45355</v>
      </c>
      <c r="H124" s="2" t="s">
        <v>71</v>
      </c>
      <c r="I124" s="2" t="str">
        <f>+VLOOKUP(B124,[1]MAYO!$B$9:$D$172,3,0)</f>
        <v>SOPORTE SENIOR</v>
      </c>
      <c r="J124" s="2" t="s">
        <v>38</v>
      </c>
      <c r="K124" s="2" t="s">
        <v>18</v>
      </c>
    </row>
    <row r="125" spans="1:11" hidden="1" x14ac:dyDescent="0.3">
      <c r="A125" s="2" t="s">
        <v>9</v>
      </c>
      <c r="B125" s="2" t="s">
        <v>274</v>
      </c>
      <c r="C125" s="2" t="s">
        <v>275</v>
      </c>
      <c r="D125" s="2" t="s">
        <v>12</v>
      </c>
      <c r="E125" s="2" t="s">
        <v>81</v>
      </c>
      <c r="F125" s="2" t="s">
        <v>276</v>
      </c>
      <c r="G125" s="3">
        <v>45364</v>
      </c>
      <c r="H125" s="2" t="s">
        <v>71</v>
      </c>
      <c r="I125" s="2" t="str">
        <f>+VLOOKUP(B125,[1]MAYO!$B$9:$D$172,3,0)</f>
        <v>SOPORTE SENIOR</v>
      </c>
      <c r="J125" s="2" t="s">
        <v>38</v>
      </c>
      <c r="K125" s="2" t="s">
        <v>18</v>
      </c>
    </row>
    <row r="126" spans="1:11" hidden="1" x14ac:dyDescent="0.3">
      <c r="A126" s="2" t="s">
        <v>9</v>
      </c>
      <c r="B126" s="2" t="s">
        <v>295</v>
      </c>
      <c r="C126" s="2" t="s">
        <v>296</v>
      </c>
      <c r="D126" s="2" t="s">
        <v>12</v>
      </c>
      <c r="E126" s="2" t="s">
        <v>181</v>
      </c>
      <c r="F126" s="2" t="s">
        <v>297</v>
      </c>
      <c r="G126" s="3">
        <v>45418</v>
      </c>
      <c r="H126" s="2" t="s">
        <v>71</v>
      </c>
      <c r="I126" s="2" t="str">
        <f>+VLOOKUP(B126,[1]MAYO!$B$9:$D$172,3,0)</f>
        <v>SOPORTE SENIOR</v>
      </c>
      <c r="J126" s="2" t="s">
        <v>38</v>
      </c>
      <c r="K126" s="2" t="s">
        <v>18</v>
      </c>
    </row>
    <row r="127" spans="1:11" hidden="1" x14ac:dyDescent="0.3">
      <c r="A127" s="2" t="s">
        <v>9</v>
      </c>
      <c r="B127" s="2" t="s">
        <v>363</v>
      </c>
      <c r="C127" s="2" t="s">
        <v>364</v>
      </c>
      <c r="D127" s="2" t="s">
        <v>12</v>
      </c>
      <c r="E127" s="2" t="s">
        <v>365</v>
      </c>
      <c r="F127" s="2" t="s">
        <v>366</v>
      </c>
      <c r="G127" s="3">
        <v>45527</v>
      </c>
      <c r="H127" s="2" t="s">
        <v>71</v>
      </c>
      <c r="I127" s="2" t="str">
        <f>+VLOOKUP(B127,[1]MAYO!$B$9:$D$172,3,0)</f>
        <v>SOPORTE SENIOR</v>
      </c>
      <c r="J127" s="2" t="s">
        <v>38</v>
      </c>
      <c r="K127" s="2" t="s">
        <v>18</v>
      </c>
    </row>
    <row r="128" spans="1:11" hidden="1" x14ac:dyDescent="0.3">
      <c r="A128" s="2" t="s">
        <v>9</v>
      </c>
      <c r="B128" s="2" t="s">
        <v>373</v>
      </c>
      <c r="C128" s="2" t="s">
        <v>374</v>
      </c>
      <c r="D128" s="2" t="s">
        <v>12</v>
      </c>
      <c r="E128" s="2" t="s">
        <v>84</v>
      </c>
      <c r="F128" s="2" t="s">
        <v>375</v>
      </c>
      <c r="G128" s="3">
        <v>45544</v>
      </c>
      <c r="H128" s="2" t="s">
        <v>71</v>
      </c>
      <c r="I128" s="2" t="str">
        <f>+VLOOKUP(B128,[1]MAYO!$B$9:$D$172,3,0)</f>
        <v>SOPORTE SENIOR</v>
      </c>
      <c r="J128" s="2" t="s">
        <v>38</v>
      </c>
      <c r="K128" s="2" t="s">
        <v>18</v>
      </c>
    </row>
    <row r="129" spans="1:11" hidden="1" x14ac:dyDescent="0.3">
      <c r="A129" s="2" t="s">
        <v>9</v>
      </c>
      <c r="B129" s="2" t="s">
        <v>376</v>
      </c>
      <c r="C129" s="2" t="s">
        <v>377</v>
      </c>
      <c r="D129" s="2" t="s">
        <v>12</v>
      </c>
      <c r="E129" s="2" t="s">
        <v>69</v>
      </c>
      <c r="F129" s="2" t="s">
        <v>378</v>
      </c>
      <c r="G129" s="3">
        <v>45566</v>
      </c>
      <c r="H129" s="2" t="s">
        <v>71</v>
      </c>
      <c r="I129" s="2" t="str">
        <f>+VLOOKUP(B129,[1]MAYO!$B$9:$D$172,3,0)</f>
        <v>SOPORTE SENIOR</v>
      </c>
      <c r="J129" s="2" t="s">
        <v>38</v>
      </c>
      <c r="K129" s="2" t="s">
        <v>18</v>
      </c>
    </row>
    <row r="130" spans="1:11" hidden="1" x14ac:dyDescent="0.3">
      <c r="A130" s="2" t="s">
        <v>9</v>
      </c>
      <c r="B130" s="2" t="s">
        <v>386</v>
      </c>
      <c r="C130" s="2" t="s">
        <v>387</v>
      </c>
      <c r="D130" s="2" t="s">
        <v>12</v>
      </c>
      <c r="E130" s="2" t="s">
        <v>81</v>
      </c>
      <c r="F130" s="2" t="s">
        <v>388</v>
      </c>
      <c r="G130" s="3">
        <v>45628</v>
      </c>
      <c r="H130" s="2" t="s">
        <v>71</v>
      </c>
      <c r="I130" s="2" t="str">
        <f>+VLOOKUP(B130,[1]MAYO!$B$9:$D$172,3,0)</f>
        <v>SOPORTE SENIOR</v>
      </c>
      <c r="J130" s="2" t="s">
        <v>38</v>
      </c>
      <c r="K130" s="2" t="s">
        <v>18</v>
      </c>
    </row>
    <row r="131" spans="1:11" hidden="1" x14ac:dyDescent="0.3">
      <c r="A131" s="2" t="s">
        <v>9</v>
      </c>
      <c r="B131" s="2" t="s">
        <v>404</v>
      </c>
      <c r="C131" s="2" t="s">
        <v>405</v>
      </c>
      <c r="D131" s="2" t="s">
        <v>12</v>
      </c>
      <c r="E131" s="2" t="s">
        <v>365</v>
      </c>
      <c r="F131" s="2" t="s">
        <v>406</v>
      </c>
      <c r="G131" s="3">
        <v>45756</v>
      </c>
      <c r="H131" s="2" t="s">
        <v>71</v>
      </c>
      <c r="I131" s="2" t="str">
        <f>+VLOOKUP(B131,[1]MAYO!$B$9:$D$172,3,0)</f>
        <v>SOPORTE SENIOR</v>
      </c>
      <c r="J131" s="2" t="s">
        <v>38</v>
      </c>
      <c r="K131" s="2" t="s">
        <v>18</v>
      </c>
    </row>
    <row r="132" spans="1:11" hidden="1" x14ac:dyDescent="0.3">
      <c r="A132" s="2" t="s">
        <v>9</v>
      </c>
      <c r="B132" s="2" t="s">
        <v>423</v>
      </c>
      <c r="C132" s="2" t="s">
        <v>424</v>
      </c>
      <c r="D132" s="2" t="s">
        <v>12</v>
      </c>
      <c r="E132" s="2" t="s">
        <v>181</v>
      </c>
      <c r="F132" s="2" t="s">
        <v>425</v>
      </c>
      <c r="G132" s="3">
        <v>45811</v>
      </c>
      <c r="H132" s="2" t="s">
        <v>71</v>
      </c>
      <c r="I132" s="2" t="str">
        <f>+VLOOKUP(B132,[1]MAYO!$B$9:$D$172,3,0)</f>
        <v>SOPORTE SENIOR</v>
      </c>
      <c r="J132" s="2" t="s">
        <v>38</v>
      </c>
      <c r="K132" s="2" t="s">
        <v>18</v>
      </c>
    </row>
    <row r="133" spans="1:11" hidden="1" x14ac:dyDescent="0.3">
      <c r="A133" s="2" t="s">
        <v>9</v>
      </c>
      <c r="B133" s="2" t="s">
        <v>455</v>
      </c>
      <c r="C133" s="2" t="s">
        <v>456</v>
      </c>
      <c r="D133" s="2" t="s">
        <v>12</v>
      </c>
      <c r="E133" s="2" t="s">
        <v>60</v>
      </c>
      <c r="F133" s="2" t="s">
        <v>457</v>
      </c>
      <c r="G133" s="3">
        <v>45911</v>
      </c>
      <c r="H133" s="2" t="s">
        <v>71</v>
      </c>
      <c r="I133" s="2" t="str">
        <f>+VLOOKUP(B133,[1]MAYO!$B$9:$D$172,3,0)</f>
        <v>SOPORTE SENIOR</v>
      </c>
      <c r="J133" s="2" t="s">
        <v>38</v>
      </c>
      <c r="K133" s="2" t="s">
        <v>18</v>
      </c>
    </row>
    <row r="134" spans="1:11" hidden="1" x14ac:dyDescent="0.3">
      <c r="A134" s="2" t="s">
        <v>9</v>
      </c>
      <c r="B134" s="2" t="s">
        <v>485</v>
      </c>
      <c r="C134" s="2" t="s">
        <v>486</v>
      </c>
      <c r="D134" s="2" t="s">
        <v>12</v>
      </c>
      <c r="E134" s="2" t="s">
        <v>181</v>
      </c>
      <c r="F134" s="2" t="s">
        <v>487</v>
      </c>
      <c r="G134" s="3">
        <v>45985</v>
      </c>
      <c r="H134" s="2" t="s">
        <v>71</v>
      </c>
      <c r="I134" s="2" t="str">
        <f>+VLOOKUP(B134,[1]MAYO!$B$9:$D$172,3,0)</f>
        <v>SOPORTE SENIOR</v>
      </c>
      <c r="J134" s="2" t="s">
        <v>38</v>
      </c>
      <c r="K134" s="2" t="s">
        <v>18</v>
      </c>
    </row>
    <row r="135" spans="1:11" hidden="1" x14ac:dyDescent="0.3">
      <c r="A135" s="2" t="s">
        <v>9</v>
      </c>
      <c r="B135" s="2" t="s">
        <v>506</v>
      </c>
      <c r="C135" s="2" t="s">
        <v>507</v>
      </c>
      <c r="D135" s="2" t="s">
        <v>12</v>
      </c>
      <c r="E135" s="2" t="s">
        <v>365</v>
      </c>
      <c r="F135" s="2" t="s">
        <v>508</v>
      </c>
      <c r="G135" s="3">
        <v>46035</v>
      </c>
      <c r="H135" s="2" t="s">
        <v>71</v>
      </c>
      <c r="I135" s="2" t="str">
        <f>+VLOOKUP(B135,[1]MAYO!$B$9:$D$172,3,0)</f>
        <v>SOPORTE SENIOR</v>
      </c>
      <c r="J135" s="2" t="s">
        <v>38</v>
      </c>
      <c r="K135" s="2" t="s">
        <v>18</v>
      </c>
    </row>
    <row r="136" spans="1:11" hidden="1" x14ac:dyDescent="0.3">
      <c r="A136" s="2" t="s">
        <v>9</v>
      </c>
      <c r="B136" s="2" t="s">
        <v>516</v>
      </c>
      <c r="C136" s="2" t="s">
        <v>517</v>
      </c>
      <c r="D136" s="2" t="s">
        <v>12</v>
      </c>
      <c r="E136" s="2" t="s">
        <v>60</v>
      </c>
      <c r="F136" s="2" t="s">
        <v>518</v>
      </c>
      <c r="G136" s="3">
        <v>46055</v>
      </c>
      <c r="H136" s="2" t="s">
        <v>71</v>
      </c>
      <c r="I136" s="2" t="str">
        <f>+VLOOKUP(B136,[1]MAYO!$B$9:$D$172,3,0)</f>
        <v>SOPORTE SENIOR</v>
      </c>
      <c r="J136" s="2" t="s">
        <v>38</v>
      </c>
      <c r="K136" s="2" t="s">
        <v>18</v>
      </c>
    </row>
    <row r="137" spans="1:11" hidden="1" x14ac:dyDescent="0.3">
      <c r="A137" s="2" t="s">
        <v>9</v>
      </c>
      <c r="B137" s="2" t="s">
        <v>543</v>
      </c>
      <c r="C137" s="2" t="s">
        <v>544</v>
      </c>
      <c r="D137" s="2" t="s">
        <v>12</v>
      </c>
      <c r="E137" s="2" t="s">
        <v>84</v>
      </c>
      <c r="F137" s="2" t="s">
        <v>545</v>
      </c>
      <c r="G137" s="3">
        <v>46112</v>
      </c>
      <c r="H137" s="2" t="s">
        <v>71</v>
      </c>
      <c r="I137" s="2" t="str">
        <f>+VLOOKUP(B137,[1]MAYO!$B$9:$D$172,3,0)</f>
        <v>SOPORTE SENIOR</v>
      </c>
      <c r="J137" s="2" t="s">
        <v>38</v>
      </c>
      <c r="K137" s="2" t="s">
        <v>18</v>
      </c>
    </row>
    <row r="138" spans="1:11" hidden="1" x14ac:dyDescent="0.3">
      <c r="A138" s="2" t="s">
        <v>9</v>
      </c>
      <c r="B138" s="2" t="s">
        <v>555</v>
      </c>
      <c r="C138" s="2" t="s">
        <v>556</v>
      </c>
      <c r="D138" s="2" t="s">
        <v>12</v>
      </c>
      <c r="E138" s="2" t="s">
        <v>69</v>
      </c>
      <c r="F138" s="2" t="s">
        <v>557</v>
      </c>
      <c r="G138" s="3">
        <v>46135</v>
      </c>
      <c r="H138" s="2" t="s">
        <v>71</v>
      </c>
      <c r="I138" s="2" t="str">
        <f>+VLOOKUP(B138,[1]MAYO!$B$9:$D$172,3,0)</f>
        <v>SOPORTE SENIOR</v>
      </c>
      <c r="J138" s="2" t="s">
        <v>38</v>
      </c>
      <c r="K138" s="2" t="s">
        <v>18</v>
      </c>
    </row>
    <row r="139" spans="1:11" hidden="1" x14ac:dyDescent="0.3">
      <c r="A139" s="2" t="s">
        <v>9</v>
      </c>
      <c r="B139" s="2" t="s">
        <v>128</v>
      </c>
      <c r="C139" s="2" t="s">
        <v>129</v>
      </c>
      <c r="D139" s="2" t="s">
        <v>12</v>
      </c>
      <c r="E139" s="2" t="s">
        <v>130</v>
      </c>
      <c r="F139" s="2" t="s">
        <v>131</v>
      </c>
      <c r="G139" s="3">
        <v>44587</v>
      </c>
      <c r="H139" s="2" t="s">
        <v>71</v>
      </c>
      <c r="I139" s="2" t="str">
        <f>+VLOOKUP(B139,[1]MAYO!$B$9:$D$172,3,0)</f>
        <v>SOPORTE SENIOR</v>
      </c>
      <c r="J139" s="2" t="s">
        <v>38</v>
      </c>
      <c r="K139" s="2" t="s">
        <v>50</v>
      </c>
    </row>
    <row r="140" spans="1:11" hidden="1" x14ac:dyDescent="0.3">
      <c r="A140" s="2" t="s">
        <v>9</v>
      </c>
      <c r="B140" s="2" t="s">
        <v>247</v>
      </c>
      <c r="C140" s="2" t="s">
        <v>248</v>
      </c>
      <c r="D140" s="2" t="s">
        <v>12</v>
      </c>
      <c r="E140" s="2" t="s">
        <v>130</v>
      </c>
      <c r="F140" s="2" t="s">
        <v>249</v>
      </c>
      <c r="G140" s="3">
        <v>45335</v>
      </c>
      <c r="H140" s="2" t="s">
        <v>71</v>
      </c>
      <c r="I140" s="2" t="str">
        <f>+VLOOKUP(B140,[1]MAYO!$B$9:$D$172,3,0)</f>
        <v>SOPORTE SENIOR</v>
      </c>
      <c r="J140" s="2" t="s">
        <v>38</v>
      </c>
      <c r="K140" s="2" t="s">
        <v>50</v>
      </c>
    </row>
    <row r="141" spans="1:11" hidden="1" x14ac:dyDescent="0.3">
      <c r="A141" s="2" t="s">
        <v>9</v>
      </c>
      <c r="B141" s="2" t="s">
        <v>250</v>
      </c>
      <c r="C141" s="2" t="s">
        <v>251</v>
      </c>
      <c r="D141" s="2" t="s">
        <v>12</v>
      </c>
      <c r="E141" s="2" t="s">
        <v>130</v>
      </c>
      <c r="F141" s="2" t="s">
        <v>252</v>
      </c>
      <c r="G141" s="3">
        <v>45337</v>
      </c>
      <c r="H141" s="2" t="s">
        <v>71</v>
      </c>
      <c r="I141" s="2" t="str">
        <f>+VLOOKUP(B141,[1]MAYO!$B$9:$D$172,3,0)</f>
        <v>SOPORTE SENIOR</v>
      </c>
      <c r="J141" s="2" t="s">
        <v>38</v>
      </c>
      <c r="K141" s="2" t="s">
        <v>50</v>
      </c>
    </row>
    <row r="142" spans="1:11" hidden="1" x14ac:dyDescent="0.3">
      <c r="A142" s="2" t="s">
        <v>9</v>
      </c>
      <c r="B142" s="2" t="s">
        <v>264</v>
      </c>
      <c r="C142" s="2" t="s">
        <v>265</v>
      </c>
      <c r="D142" s="2" t="s">
        <v>12</v>
      </c>
      <c r="E142" s="2" t="s">
        <v>130</v>
      </c>
      <c r="F142" s="2" t="s">
        <v>266</v>
      </c>
      <c r="G142" s="3">
        <v>45355</v>
      </c>
      <c r="H142" s="2" t="s">
        <v>71</v>
      </c>
      <c r="I142" s="2" t="str">
        <f>+VLOOKUP(B142,[1]MAYO!$B$9:$D$172,3,0)</f>
        <v>SOPORTE SENIOR</v>
      </c>
      <c r="J142" s="2" t="s">
        <v>38</v>
      </c>
      <c r="K142" s="2" t="s">
        <v>50</v>
      </c>
    </row>
    <row r="143" spans="1:11" hidden="1" x14ac:dyDescent="0.3">
      <c r="A143" s="2" t="s">
        <v>9</v>
      </c>
      <c r="B143" s="2" t="s">
        <v>280</v>
      </c>
      <c r="C143" s="2" t="s">
        <v>281</v>
      </c>
      <c r="D143" s="2" t="s">
        <v>12</v>
      </c>
      <c r="E143" s="2" t="s">
        <v>130</v>
      </c>
      <c r="F143" s="2" t="s">
        <v>282</v>
      </c>
      <c r="G143" s="3">
        <v>45383</v>
      </c>
      <c r="H143" s="2" t="s">
        <v>71</v>
      </c>
      <c r="I143" s="2" t="str">
        <f>+VLOOKUP(B143,[1]MAYO!$B$9:$D$172,3,0)</f>
        <v>SOPORTE SENIOR</v>
      </c>
      <c r="J143" s="2" t="s">
        <v>38</v>
      </c>
      <c r="K143" s="2" t="s">
        <v>50</v>
      </c>
    </row>
    <row r="144" spans="1:11" hidden="1" x14ac:dyDescent="0.3">
      <c r="A144" s="2" t="s">
        <v>9</v>
      </c>
      <c r="B144" s="2" t="s">
        <v>286</v>
      </c>
      <c r="C144" s="2" t="s">
        <v>287</v>
      </c>
      <c r="D144" s="2" t="s">
        <v>12</v>
      </c>
      <c r="E144" s="2" t="s">
        <v>130</v>
      </c>
      <c r="F144" s="2" t="s">
        <v>288</v>
      </c>
      <c r="G144" s="3">
        <v>45404</v>
      </c>
      <c r="H144" s="2" t="s">
        <v>71</v>
      </c>
      <c r="I144" s="2" t="str">
        <f>+VLOOKUP(B144,[1]MAYO!$B$9:$D$172,3,0)</f>
        <v>SOPORTE SENIOR</v>
      </c>
      <c r="J144" s="2" t="s">
        <v>38</v>
      </c>
      <c r="K144" s="2" t="s">
        <v>50</v>
      </c>
    </row>
    <row r="145" spans="1:11" hidden="1" x14ac:dyDescent="0.3">
      <c r="A145" s="2" t="s">
        <v>9</v>
      </c>
      <c r="B145" s="2" t="s">
        <v>298</v>
      </c>
      <c r="C145" s="2" t="s">
        <v>299</v>
      </c>
      <c r="D145" s="2" t="s">
        <v>12</v>
      </c>
      <c r="E145" s="2" t="s">
        <v>84</v>
      </c>
      <c r="F145" s="2" t="s">
        <v>300</v>
      </c>
      <c r="G145" s="3">
        <v>45428</v>
      </c>
      <c r="H145" s="2" t="s">
        <v>71</v>
      </c>
      <c r="I145" s="2" t="str">
        <f>+VLOOKUP(B145,[1]MAYO!$B$9:$D$172,3,0)</f>
        <v>SOPORTE SENIOR</v>
      </c>
      <c r="J145" s="2" t="s">
        <v>38</v>
      </c>
      <c r="K145" s="2" t="s">
        <v>50</v>
      </c>
    </row>
    <row r="146" spans="1:11" hidden="1" x14ac:dyDescent="0.3">
      <c r="A146" s="2" t="s">
        <v>9</v>
      </c>
      <c r="B146" s="2" t="s">
        <v>398</v>
      </c>
      <c r="C146" s="2" t="s">
        <v>399</v>
      </c>
      <c r="D146" s="2" t="s">
        <v>12</v>
      </c>
      <c r="E146" s="2" t="s">
        <v>130</v>
      </c>
      <c r="F146" s="2" t="s">
        <v>400</v>
      </c>
      <c r="G146" s="3">
        <v>45741</v>
      </c>
      <c r="H146" s="2" t="s">
        <v>71</v>
      </c>
      <c r="I146" s="2" t="str">
        <f>+VLOOKUP(B146,[1]MAYO!$B$9:$D$172,3,0)</f>
        <v>SOPORTE SENIOR</v>
      </c>
      <c r="J146" s="2" t="s">
        <v>38</v>
      </c>
      <c r="K146" s="2" t="s">
        <v>50</v>
      </c>
    </row>
    <row r="147" spans="1:11" hidden="1" x14ac:dyDescent="0.3">
      <c r="A147" s="2" t="s">
        <v>9</v>
      </c>
      <c r="B147" s="2" t="s">
        <v>452</v>
      </c>
      <c r="C147" s="2" t="s">
        <v>453</v>
      </c>
      <c r="D147" s="2" t="s">
        <v>12</v>
      </c>
      <c r="E147" s="2" t="s">
        <v>130</v>
      </c>
      <c r="F147" s="2" t="s">
        <v>454</v>
      </c>
      <c r="G147" s="3">
        <v>45901</v>
      </c>
      <c r="H147" s="2" t="s">
        <v>71</v>
      </c>
      <c r="I147" s="2" t="str">
        <f>+VLOOKUP(B147,[1]MAYO!$B$9:$D$172,3,0)</f>
        <v>SOPORTE SENIOR</v>
      </c>
      <c r="J147" s="2" t="s">
        <v>38</v>
      </c>
      <c r="K147" s="2" t="s">
        <v>50</v>
      </c>
    </row>
    <row r="148" spans="1:11" hidden="1" x14ac:dyDescent="0.3">
      <c r="A148" s="2" t="s">
        <v>9</v>
      </c>
      <c r="B148" s="2" t="s">
        <v>473</v>
      </c>
      <c r="C148" s="2" t="s">
        <v>474</v>
      </c>
      <c r="D148" s="2" t="s">
        <v>12</v>
      </c>
      <c r="E148" s="2" t="s">
        <v>130</v>
      </c>
      <c r="F148" s="2" t="s">
        <v>475</v>
      </c>
      <c r="G148" s="3">
        <v>45965</v>
      </c>
      <c r="H148" s="2" t="s">
        <v>71</v>
      </c>
      <c r="I148" s="2" t="str">
        <f>+VLOOKUP(B148,[1]MAYO!$B$9:$D$172,3,0)</f>
        <v>SOPORTE SENIOR</v>
      </c>
      <c r="J148" s="2" t="s">
        <v>38</v>
      </c>
      <c r="K148" s="2" t="s">
        <v>50</v>
      </c>
    </row>
    <row r="149" spans="1:11" hidden="1" x14ac:dyDescent="0.3">
      <c r="A149" s="2" t="s">
        <v>9</v>
      </c>
      <c r="B149" s="2" t="s">
        <v>558</v>
      </c>
      <c r="C149" s="2" t="s">
        <v>559</v>
      </c>
      <c r="D149" s="2" t="s">
        <v>12</v>
      </c>
      <c r="E149" s="2" t="s">
        <v>130</v>
      </c>
      <c r="F149" s="2" t="s">
        <v>560</v>
      </c>
      <c r="G149" s="3">
        <v>46149</v>
      </c>
      <c r="H149" s="2" t="s">
        <v>71</v>
      </c>
      <c r="I149" s="2" t="str">
        <f>+VLOOKUP(B149,[1]MAYO!$B$9:$D$172,3,0)</f>
        <v>SOPORTE SENIOR</v>
      </c>
      <c r="J149" s="2" t="s">
        <v>38</v>
      </c>
      <c r="K149" s="2" t="s">
        <v>50</v>
      </c>
    </row>
    <row r="150" spans="1:11" hidden="1" x14ac:dyDescent="0.3">
      <c r="A150" s="2" t="s">
        <v>9</v>
      </c>
      <c r="B150" s="2" t="s">
        <v>359</v>
      </c>
      <c r="C150" s="2" t="s">
        <v>360</v>
      </c>
      <c r="D150" s="2" t="s">
        <v>12</v>
      </c>
      <c r="E150" s="2" t="s">
        <v>361</v>
      </c>
      <c r="F150" s="2" t="s">
        <v>362</v>
      </c>
      <c r="G150" s="3">
        <v>45426</v>
      </c>
      <c r="H150" s="2" t="s">
        <v>238</v>
      </c>
      <c r="I150" s="2" t="str">
        <f>+VLOOKUP(B150,[1]MAYO!$B$9:$D$172,3,0)</f>
        <v>ADMINISTRACION DE PERSONAL</v>
      </c>
      <c r="J150" s="2" t="s">
        <v>358</v>
      </c>
      <c r="K150" s="2" t="s">
        <v>18</v>
      </c>
    </row>
    <row r="151" spans="1:11" hidden="1" x14ac:dyDescent="0.3">
      <c r="A151" s="2" t="s">
        <v>9</v>
      </c>
      <c r="B151" s="2" t="s">
        <v>353</v>
      </c>
      <c r="C151" s="2" t="s">
        <v>354</v>
      </c>
      <c r="D151" s="2" t="s">
        <v>12</v>
      </c>
      <c r="E151" s="2" t="s">
        <v>355</v>
      </c>
      <c r="F151" s="2" t="s">
        <v>356</v>
      </c>
      <c r="G151" s="3">
        <v>43906</v>
      </c>
      <c r="H151" s="2" t="s">
        <v>357</v>
      </c>
      <c r="I151" s="2" t="str">
        <f>+VLOOKUP(B151,[1]MAYO!$B$9:$D$172,3,0)</f>
        <v>CONTADOR SENIOR</v>
      </c>
      <c r="J151" s="2" t="s">
        <v>358</v>
      </c>
      <c r="K151" s="2" t="s">
        <v>18</v>
      </c>
    </row>
    <row r="152" spans="1:11" hidden="1" x14ac:dyDescent="0.3">
      <c r="A152" s="2" t="s">
        <v>9</v>
      </c>
      <c r="B152" s="2" t="s">
        <v>348</v>
      </c>
      <c r="C152" s="2" t="s">
        <v>349</v>
      </c>
      <c r="D152" s="2" t="s">
        <v>12</v>
      </c>
      <c r="E152" s="2" t="s">
        <v>35</v>
      </c>
      <c r="F152" s="2" t="s">
        <v>350</v>
      </c>
      <c r="G152" s="3">
        <v>45456</v>
      </c>
      <c r="H152" s="2" t="s">
        <v>351</v>
      </c>
      <c r="I152" s="2" t="str">
        <f>+VLOOKUP(B152,[1]MAYO!$B$9:$D$172,3,0)</f>
        <v>SOPORTE TI</v>
      </c>
      <c r="J152" s="2" t="s">
        <v>352</v>
      </c>
      <c r="K152" s="2" t="s">
        <v>18</v>
      </c>
    </row>
    <row r="153" spans="1:11" hidden="1" x14ac:dyDescent="0.3">
      <c r="A153" s="2" t="s">
        <v>9</v>
      </c>
      <c r="B153" s="2" t="s">
        <v>313</v>
      </c>
      <c r="C153" s="2" t="s">
        <v>314</v>
      </c>
      <c r="D153" s="2" t="s">
        <v>12</v>
      </c>
      <c r="E153" s="2" t="s">
        <v>315</v>
      </c>
      <c r="F153" s="2" t="s">
        <v>316</v>
      </c>
      <c r="G153" s="3">
        <v>43899</v>
      </c>
      <c r="H153" s="2" t="s">
        <v>317</v>
      </c>
      <c r="I153" s="2" t="str">
        <f>+VLOOKUP(B153,[1]MAYO!$B$9:$D$172,3,0)</f>
        <v>ABOGADA JUNIOR</v>
      </c>
      <c r="J153" s="2" t="s">
        <v>318</v>
      </c>
      <c r="K153" s="2" t="s">
        <v>18</v>
      </c>
    </row>
    <row r="154" spans="1:11" hidden="1" x14ac:dyDescent="0.3">
      <c r="A154" s="2" t="s">
        <v>9</v>
      </c>
      <c r="B154" s="2" t="s">
        <v>309</v>
      </c>
      <c r="C154" s="2" t="s">
        <v>310</v>
      </c>
      <c r="D154" s="2" t="s">
        <v>12</v>
      </c>
      <c r="E154" s="2" t="s">
        <v>261</v>
      </c>
      <c r="F154" s="2" t="s">
        <v>311</v>
      </c>
      <c r="G154" s="3">
        <v>42107</v>
      </c>
      <c r="H154" s="2" t="s">
        <v>238</v>
      </c>
      <c r="I154" s="2" t="str">
        <f>+VLOOKUP(B154,[1]MAYO!$B$9:$D$172,3,0)</f>
        <v>AUXILIAR DE SERVICIOS GENERALES</v>
      </c>
      <c r="J154" s="2" t="s">
        <v>312</v>
      </c>
      <c r="K154" s="2" t="s">
        <v>18</v>
      </c>
    </row>
    <row r="155" spans="1:11" hidden="1" x14ac:dyDescent="0.3">
      <c r="A155" s="2" t="s">
        <v>9</v>
      </c>
      <c r="B155" s="2" t="s">
        <v>502</v>
      </c>
      <c r="C155" s="2" t="s">
        <v>228</v>
      </c>
      <c r="D155" s="2" t="s">
        <v>12</v>
      </c>
      <c r="E155" s="2" t="s">
        <v>13</v>
      </c>
      <c r="F155" s="2" t="s">
        <v>503</v>
      </c>
      <c r="G155" s="3">
        <v>46041</v>
      </c>
      <c r="H155" s="2" t="s">
        <v>504</v>
      </c>
      <c r="I155" s="2" t="str">
        <f>+VLOOKUP(B155,[1]MAYO!$B$9:$D$172,3,0)</f>
        <v>DIRECTORA DE CAPITAL HUMANO</v>
      </c>
      <c r="J155" s="2" t="s">
        <v>505</v>
      </c>
      <c r="K155" s="2" t="s">
        <v>18</v>
      </c>
    </row>
    <row r="156" spans="1:11" hidden="1" x14ac:dyDescent="0.3">
      <c r="A156" s="2" t="s">
        <v>9</v>
      </c>
      <c r="B156" s="2" t="s">
        <v>433</v>
      </c>
      <c r="C156" s="2" t="s">
        <v>434</v>
      </c>
      <c r="D156" s="2" t="s">
        <v>12</v>
      </c>
      <c r="E156" s="2" t="s">
        <v>228</v>
      </c>
      <c r="F156" s="2" t="s">
        <v>435</v>
      </c>
      <c r="G156" s="3">
        <v>45852</v>
      </c>
      <c r="H156" s="2" t="s">
        <v>436</v>
      </c>
      <c r="I156" s="2" t="str">
        <f>+VLOOKUP(B156,[1]MAYO!$B$9:$D$172,3,0)</f>
        <v>ANALISTA ADMINISTRATIVO</v>
      </c>
      <c r="J156" s="2" t="s">
        <v>308</v>
      </c>
      <c r="K156" s="2" t="s">
        <v>437</v>
      </c>
    </row>
    <row r="157" spans="1:11" hidden="1" x14ac:dyDescent="0.3">
      <c r="A157" s="2" t="s">
        <v>9</v>
      </c>
      <c r="B157" s="2" t="s">
        <v>304</v>
      </c>
      <c r="C157" s="2" t="s">
        <v>305</v>
      </c>
      <c r="D157" s="2" t="s">
        <v>12</v>
      </c>
      <c r="E157" s="2" t="s">
        <v>228</v>
      </c>
      <c r="F157" s="2" t="s">
        <v>306</v>
      </c>
      <c r="G157" s="3">
        <v>41365</v>
      </c>
      <c r="H157" s="2" t="s">
        <v>307</v>
      </c>
      <c r="I157" s="2" t="str">
        <f>+VLOOKUP(B157,[1]MAYO!$B$9:$D$172,3,0)</f>
        <v>COORDINADORA DE CAPITAL HUMANO</v>
      </c>
      <c r="J157" s="2" t="s">
        <v>308</v>
      </c>
      <c r="K157" s="2" t="s">
        <v>18</v>
      </c>
    </row>
    <row r="158" spans="1:11" hidden="1" x14ac:dyDescent="0.3">
      <c r="A158" s="2" t="s">
        <v>9</v>
      </c>
      <c r="B158" s="2" t="s">
        <v>528</v>
      </c>
      <c r="C158" s="2" t="s">
        <v>529</v>
      </c>
      <c r="D158" s="2" t="s">
        <v>12</v>
      </c>
      <c r="E158" s="2" t="s">
        <v>228</v>
      </c>
      <c r="F158" s="2" t="s">
        <v>530</v>
      </c>
      <c r="G158" s="3">
        <v>46105</v>
      </c>
      <c r="H158" s="2" t="s">
        <v>531</v>
      </c>
      <c r="I158" s="2" t="str">
        <f>+VLOOKUP(B158,[1]MAYO!$B$9:$D$172,3,0)</f>
        <v>PROFESIONAL DE CAPITAL HUMANO</v>
      </c>
      <c r="J158" s="2" t="s">
        <v>308</v>
      </c>
      <c r="K158" s="2" t="s">
        <v>18</v>
      </c>
    </row>
    <row r="159" spans="1:11" hidden="1" x14ac:dyDescent="0.3">
      <c r="A159" s="2" t="s">
        <v>9</v>
      </c>
      <c r="B159" s="2" t="s">
        <v>447</v>
      </c>
      <c r="C159" s="2" t="s">
        <v>448</v>
      </c>
      <c r="D159" s="2" t="s">
        <v>12</v>
      </c>
      <c r="E159" s="2" t="s">
        <v>42</v>
      </c>
      <c r="F159" s="2" t="s">
        <v>449</v>
      </c>
      <c r="G159" s="3">
        <v>45890</v>
      </c>
      <c r="H159" s="2" t="s">
        <v>450</v>
      </c>
      <c r="I159" s="2" t="str">
        <f>+VLOOKUP(B159,[1]MAYO!$B$9:$D$172,3,0)</f>
        <v>MARKETING</v>
      </c>
      <c r="J159" s="2" t="s">
        <v>451</v>
      </c>
      <c r="K159" s="2" t="s">
        <v>18</v>
      </c>
    </row>
    <row r="160" spans="1:11" hidden="1" x14ac:dyDescent="0.3">
      <c r="A160" s="2" t="s">
        <v>9</v>
      </c>
      <c r="B160" s="2" t="s">
        <v>552</v>
      </c>
      <c r="C160" s="2" t="s">
        <v>553</v>
      </c>
      <c r="D160" s="2" t="s">
        <v>301</v>
      </c>
      <c r="E160" s="2" t="s">
        <v>21</v>
      </c>
      <c r="F160" s="2"/>
      <c r="G160" s="3">
        <v>46135</v>
      </c>
      <c r="H160" s="2" t="s">
        <v>15</v>
      </c>
      <c r="I160" s="2" t="s">
        <v>572</v>
      </c>
      <c r="J160" s="2" t="s">
        <v>16</v>
      </c>
      <c r="K160" s="2" t="s">
        <v>554</v>
      </c>
    </row>
    <row r="161" spans="1:11" hidden="1" x14ac:dyDescent="0.3">
      <c r="A161" s="2" t="s">
        <v>9</v>
      </c>
      <c r="B161" s="2" t="s">
        <v>567</v>
      </c>
      <c r="C161" s="2" t="s">
        <v>568</v>
      </c>
      <c r="D161" s="2" t="s">
        <v>301</v>
      </c>
      <c r="E161" s="2" t="s">
        <v>42</v>
      </c>
      <c r="F161" s="2"/>
      <c r="G161" s="3">
        <v>46153</v>
      </c>
      <c r="H161" s="2" t="s">
        <v>44</v>
      </c>
      <c r="I161" s="2" t="s">
        <v>571</v>
      </c>
      <c r="J161" s="2" t="s">
        <v>45</v>
      </c>
      <c r="K161" s="2" t="s">
        <v>554</v>
      </c>
    </row>
  </sheetData>
  <autoFilter ref="A1:CR161" xr:uid="{AF1B7C90-E6AE-4FFF-A47C-D03098AFA49F}">
    <filterColumn colId="2">
      <filters>
        <filter val="ANDRES FELIPE SALAZAR LLANOS"/>
      </filters>
    </filterColumn>
  </autoFilter>
  <sortState xmlns:xlrd2="http://schemas.microsoft.com/office/spreadsheetml/2017/richdata2" ref="A2:K161">
    <sortCondition ref="D2:D161"/>
    <sortCondition ref="J2:J161"/>
    <sortCondition ref="I2:I161"/>
    <sortCondition ref="K2:K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 - Datos Plantillas- Datos Bá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Suarez Hernandez, Andrea Milena</dc:creator>
  <cp:lastModifiedBy>Angie Ureche</cp:lastModifiedBy>
  <dcterms:created xsi:type="dcterms:W3CDTF">2026-05-21T22:21:11Z</dcterms:created>
  <dcterms:modified xsi:type="dcterms:W3CDTF">2026-06-13T01:26:59Z</dcterms:modified>
</cp:coreProperties>
</file>